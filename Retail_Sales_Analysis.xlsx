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b17dee8c40b36a/Documents/"/>
    </mc:Choice>
  </mc:AlternateContent>
  <xr:revisionPtr revIDLastSave="20" documentId="8_{BA239103-2908-4BEF-AB72-7564CA7FD9B3}" xr6:coauthVersionLast="47" xr6:coauthVersionMax="47" xr10:uidLastSave="{CA59A1C0-25D5-4B33-94D0-B6BE529FB187}"/>
  <bookViews>
    <workbookView xWindow="-108" yWindow="-108" windowWidth="23256" windowHeight="12456" xr2:uid="{CBC98569-52A2-4AF7-93CC-A7A2A51F7196}"/>
  </bookViews>
  <sheets>
    <sheet name="CLEANED SHEET" sheetId="2" r:id="rId1"/>
    <sheet name="DATA ANALYSIS" sheetId="5" r:id="rId2"/>
    <sheet name="BUSINESS ANALYSIS" sheetId="4" r:id="rId3"/>
  </sheets>
  <definedNames>
    <definedName name="ExternalData_1" localSheetId="0" hidden="1">'CLEANED SHEET'!$A$1:$U$554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5" l="1"/>
  <c r="G12" i="5"/>
  <c r="G11" i="5"/>
  <c r="G10" i="5"/>
  <c r="G9" i="5"/>
  <c r="D12" i="5"/>
  <c r="D11" i="5"/>
  <c r="D10" i="5"/>
  <c r="D9" i="5"/>
  <c r="D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6E0BB4-0613-444C-B031-F5403E259DF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28ADDE31-C0C8-4B5E-8DD9-71AA33F45620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<sst xmlns="http://schemas.openxmlformats.org/spreadsheetml/2006/main" count="5627" uniqueCount="1199">
  <si>
    <t>Row ID</t>
  </si>
  <si>
    <t>Order Priority</t>
  </si>
  <si>
    <t>Order Quantity</t>
  </si>
  <si>
    <t>Sales</t>
  </si>
  <si>
    <t>Discount</t>
  </si>
  <si>
    <t>Profit</t>
  </si>
  <si>
    <t>Unit Price</t>
  </si>
  <si>
    <t>Customer Name</t>
  </si>
  <si>
    <t>Province</t>
  </si>
  <si>
    <t>Region</t>
  </si>
  <si>
    <t>Customer Segment</t>
  </si>
  <si>
    <t>Product Name</t>
  </si>
  <si>
    <t>Product Container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</si>
  <si>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</si>
  <si>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</si>
  <si>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</si>
  <si>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</si>
  <si>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</si>
  <si>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</si>
  <si>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</si>
  <si>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</si>
  <si>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</si>
  <si>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</si>
  <si>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</si>
  <si>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</si>
  <si>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Alberta</t>
  </si>
  <si>
    <t>West</t>
  </si>
  <si>
    <t>Corporate</t>
  </si>
  <si>
    <t>Scissors, Rulers and Trimmers</t>
  </si>
  <si>
    <t>Kleencut¨ Forged Office Shears by Acme United Corporation</t>
  </si>
  <si>
    <t>Small Pack</t>
  </si>
  <si>
    <t>High</t>
  </si>
  <si>
    <t>Liz Pelletier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</si>
  <si>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</si>
  <si>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</si>
  <si>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</si>
  <si>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</si>
  <si>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</si>
  <si>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</si>
  <si>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Jumbo Box</t>
  </si>
  <si>
    <t>Technology</t>
  </si>
  <si>
    <t>Telephones and Communication</t>
  </si>
  <si>
    <t>Bell Sonecor JB700 Caller ID</t>
  </si>
  <si>
    <t>Saskachewan</t>
  </si>
  <si>
    <t>Prarie</t>
  </si>
  <si>
    <t>Computer Peripherals</t>
  </si>
  <si>
    <t>Julie Creighton</t>
  </si>
  <si>
    <t>British Columbia</t>
  </si>
  <si>
    <t>Pens &amp; Art Supplies</t>
  </si>
  <si>
    <t>Dixon Ticonderoga Core-Lock Colored Pencils</t>
  </si>
  <si>
    <t>Wrap Bag</t>
  </si>
  <si>
    <t>Small Box</t>
  </si>
  <si>
    <t>Critical</t>
  </si>
  <si>
    <t>Sample Company A</t>
  </si>
  <si>
    <t>Home Office</t>
  </si>
  <si>
    <t>6162i</t>
  </si>
  <si>
    <t>Tamara Dahlen</t>
  </si>
  <si>
    <t>Ontario</t>
  </si>
  <si>
    <t>Verbatim DVD-R, 4.7GB, Spindle, WE, Blank, Ink Jet/Thermal, 20/Spindle</t>
  </si>
  <si>
    <t>Arthur Gainer</t>
  </si>
  <si>
    <t>Consumer</t>
  </si>
  <si>
    <t>Newell 340</t>
  </si>
  <si>
    <t>Jonathan Doherty</t>
  </si>
  <si>
    <t>Advantus Employee of the Month Certificate Frame, 11 x 13-1/2</t>
  </si>
  <si>
    <t>Express Air</t>
  </si>
  <si>
    <t>Helen Wasserman</t>
  </si>
  <si>
    <t>Quebec</t>
  </si>
  <si>
    <t>Rubber Bands</t>
  </si>
  <si>
    <t>Super Bands, 12/Pack</t>
  </si>
  <si>
    <t>Keith Dawkins</t>
  </si>
  <si>
    <t>Manitoba</t>
  </si>
  <si>
    <t>SC7868i</t>
  </si>
  <si>
    <t>Medium</t>
  </si>
  <si>
    <t>Craig Yedwab</t>
  </si>
  <si>
    <t>Yukon</t>
  </si>
  <si>
    <t>Labels</t>
  </si>
  <si>
    <t>Avery 498</t>
  </si>
  <si>
    <t>Pauline Chand</t>
  </si>
  <si>
    <t>Paper</t>
  </si>
  <si>
    <t>Xerox 217</t>
  </si>
  <si>
    <t>Roy Collins</t>
  </si>
  <si>
    <t>Office Machines</t>
  </si>
  <si>
    <t>Canon MP41DH Printing Calculator</t>
  </si>
  <si>
    <t>Computer Printout Paper with Letter-Trim Perforations</t>
  </si>
  <si>
    <t>Emily Phan</t>
  </si>
  <si>
    <t>Nova Scotia</t>
  </si>
  <si>
    <t>Atlantic</t>
  </si>
  <si>
    <t>Bookcases</t>
  </si>
  <si>
    <t>O'Sullivan Elevations Bookcase, Cherry Finish</t>
  </si>
  <si>
    <t>Michael Dominguez</t>
  </si>
  <si>
    <t>Safco Industrial Wire Shelving</t>
  </si>
  <si>
    <t>Anne Pryor</t>
  </si>
  <si>
    <t>Imation 3.5", DISKETTE 44766 HGHLD3.52HD/FM, 10/Pack</t>
  </si>
  <si>
    <t>Valerie Takahito</t>
  </si>
  <si>
    <t>i270</t>
  </si>
  <si>
    <t>Justin Hirsh</t>
  </si>
  <si>
    <t>Eldon Simplefile¨ Box Office¨</t>
  </si>
  <si>
    <t>Maria Zettner</t>
  </si>
  <si>
    <t>Master Caster Door Stop, Large Neon Orange</t>
  </si>
  <si>
    <t>Serrated Blade or Curved Handle Hand Letter Openers</t>
  </si>
  <si>
    <t>Brad Thomas</t>
  </si>
  <si>
    <t>Dixon Ticonderoga Core-Lock Colored Pencils, 48-Color Set</t>
  </si>
  <si>
    <t>Penelope Sewall</t>
  </si>
  <si>
    <t>Acme¨ 8" Straight Scissors</t>
  </si>
  <si>
    <t>Bart Folk</t>
  </si>
  <si>
    <t>Eldon¨ Expressionsª Wood Desk Accessories, Oak</t>
  </si>
  <si>
    <t>Karen Ferguson</t>
  </si>
  <si>
    <t>Newell 314</t>
  </si>
  <si>
    <t>Prismacolor Color Pencil Set</t>
  </si>
  <si>
    <t>Matt Abelman</t>
  </si>
  <si>
    <t>Nu-Dell Executive Frame</t>
  </si>
  <si>
    <t>Binders and Binder Accessories</t>
  </si>
  <si>
    <t>GBC Standard Therm-A-Bind Covers</t>
  </si>
  <si>
    <t>Erin Creighton</t>
  </si>
  <si>
    <t>Boston 1645 Deluxe Heavier-Duty Electric Pencil Sharpener</t>
  </si>
  <si>
    <t>StarTAC ST7762</t>
  </si>
  <si>
    <t>Sean Braxton</t>
  </si>
  <si>
    <t>Appliances</t>
  </si>
  <si>
    <t>Hoover WindTunnelª Plus Canister Vacuum</t>
  </si>
  <si>
    <t>Liz Willingham</t>
  </si>
  <si>
    <t>Xerox 1984</t>
  </si>
  <si>
    <t>Jumbo Drum</t>
  </si>
  <si>
    <t>Wilson Jones¨ Four-Pocket Poly Binders</t>
  </si>
  <si>
    <t>Sonia Sunley</t>
  </si>
  <si>
    <t>Paul Lucas</t>
  </si>
  <si>
    <t>3M Organizer Strips</t>
  </si>
  <si>
    <t>Dorris Love</t>
  </si>
  <si>
    <t>Rediform Wirebound "Phone Memo" Message Book, 11 x 5-3/4</t>
  </si>
  <si>
    <t>Envelopes</t>
  </si>
  <si>
    <t>Barry French</t>
  </si>
  <si>
    <t>1.7 Cubic Foot Compact "Cube" Office Refrigerators</t>
  </si>
  <si>
    <t>Sanjit Chand</t>
  </si>
  <si>
    <t>Fellowes Staxonsteel¨ Drawer Files</t>
  </si>
  <si>
    <t>Giulietta Weimer</t>
  </si>
  <si>
    <t>I888 World Phone</t>
  </si>
  <si>
    <t>Dario Medina</t>
  </si>
  <si>
    <t>Staples Standard Envelopes</t>
  </si>
  <si>
    <t>Frank Gastineau</t>
  </si>
  <si>
    <t>VTech VT20-2481 2.4GHz Two-Line Phone System w/Answering Machine</t>
  </si>
  <si>
    <t>Michelle Tran</t>
  </si>
  <si>
    <t>DXLª Angle-View Binders with Locking Rings, Black</t>
  </si>
  <si>
    <t>Dean Percer</t>
  </si>
  <si>
    <t>Quartet Alpha¨ White Chalk, 12/Pack</t>
  </si>
  <si>
    <t>Henry MacAllister</t>
  </si>
  <si>
    <t>Accessory4</t>
  </si>
  <si>
    <t>Ricardo Block</t>
  </si>
  <si>
    <t>O'Sullivan 2-Shelf Heavy-Duty Bookcases</t>
  </si>
  <si>
    <t>80 Minute CD-R Spindle, 100/Pack - Staples</t>
  </si>
  <si>
    <t>Cari Sayre</t>
  </si>
  <si>
    <t>Bevis 36 x 72 Conference Tables</t>
  </si>
  <si>
    <t>Sonia Cooley</t>
  </si>
  <si>
    <t>BPI Conference Tables</t>
  </si>
  <si>
    <t>Tracy Poddar</t>
  </si>
  <si>
    <t>Avery 501</t>
  </si>
  <si>
    <t>Jennifer Halladay</t>
  </si>
  <si>
    <t>Harmony HEPA Quiet Air Purifiers</t>
  </si>
  <si>
    <t>Stuart Calhoun</t>
  </si>
  <si>
    <t>Robert Barroso</t>
  </si>
  <si>
    <t>Hewlett-Packard cp1700 [D, PS] Series Color Inkjet Printers</t>
  </si>
  <si>
    <t>Hot File¨ 7-Pocket, Floor Stand</t>
  </si>
  <si>
    <t>Tony Sayre</t>
  </si>
  <si>
    <t>Xerox 190</t>
  </si>
  <si>
    <t>Matt Collins</t>
  </si>
  <si>
    <t>Panasonic KP-350BK Electric Pencil Sharpener with Auto Stop</t>
  </si>
  <si>
    <t>Darrin Martin</t>
  </si>
  <si>
    <t>Staples Bulk Pack Metal Binder Clips</t>
  </si>
  <si>
    <t>Art Foster</t>
  </si>
  <si>
    <t>Clay Rozendal</t>
  </si>
  <si>
    <t>R380</t>
  </si>
  <si>
    <t>Valerie Dominguez</t>
  </si>
  <si>
    <t>Belkin 6 Outlet Metallic Surge Strip</t>
  </si>
  <si>
    <t>Sam Craven</t>
  </si>
  <si>
    <t>Chairs &amp; Chairmats</t>
  </si>
  <si>
    <t>Lifetime Advantageª Folding Chairs, 4/Carton</t>
  </si>
  <si>
    <t>Arthur Prichep</t>
  </si>
  <si>
    <t>Global Leather &amp; Oak Executive Chair, Burgundy</t>
  </si>
  <si>
    <t>Carlos Soltero</t>
  </si>
  <si>
    <t>Holmes HEPA Air Purifier</t>
  </si>
  <si>
    <t>Sung Chung</t>
  </si>
  <si>
    <t>Avery 481</t>
  </si>
  <si>
    <t>Xerox 1976</t>
  </si>
  <si>
    <t>Ken Brennan</t>
  </si>
  <si>
    <t>Xerox 1922</t>
  </si>
  <si>
    <t>Joe Elijah</t>
  </si>
  <si>
    <t>Xerox 195</t>
  </si>
  <si>
    <t>Portfile¨ Personal File Boxes</t>
  </si>
  <si>
    <t>Sheri Gordon</t>
  </si>
  <si>
    <t>Xerox 1928</t>
  </si>
  <si>
    <t>Carl Jackson</t>
  </si>
  <si>
    <t>Angle-D Binders with Locking Rings, Label Holders</t>
  </si>
  <si>
    <t>Dave Hallsten</t>
  </si>
  <si>
    <t>Nu-Dell Leatherette Frames</t>
  </si>
  <si>
    <t>Tamara Chand</t>
  </si>
  <si>
    <t>O'Sullivan Living Dimensions 2-Shelf Bookcases</t>
  </si>
  <si>
    <t>Monica Federle</t>
  </si>
  <si>
    <t>SAFCO Commercial Wire Shelving, Black</t>
  </si>
  <si>
    <t>Bill Eplett</t>
  </si>
  <si>
    <t>Hon 4070 Series Pagodaª Round Back Stacking Chairs</t>
  </si>
  <si>
    <t>Harold Engle</t>
  </si>
  <si>
    <t>Prince Edward Island</t>
  </si>
  <si>
    <t>GBC Binding covers</t>
  </si>
  <si>
    <t>Duane Huffman</t>
  </si>
  <si>
    <t>Acme¨ Forged Steel Scissors with Black Enamel Handles</t>
  </si>
  <si>
    <t>Dorothy Badders</t>
  </si>
  <si>
    <t>Xerox 198</t>
  </si>
  <si>
    <t>Sarah Jordon</t>
  </si>
  <si>
    <t>Newell 326</t>
  </si>
  <si>
    <t>Susan MacKendrick</t>
  </si>
  <si>
    <t>Avery Poly Binder Pockets</t>
  </si>
  <si>
    <t>Deflect-o EconoMat Studded, No Bevel Mat for Low Pile Carpeting</t>
  </si>
  <si>
    <t>Caroline Jumper</t>
  </si>
  <si>
    <t>Belkin 8 Outlet SurgeMaster II Gold Surge Protector with Phone Protection</t>
  </si>
  <si>
    <t>Xerox 23</t>
  </si>
  <si>
    <t>Thomas Boland</t>
  </si>
  <si>
    <t>Avery White Multi-Purpose Labels</t>
  </si>
  <si>
    <t>Roy French</t>
  </si>
  <si>
    <t>Hewlett-Packard Deskjet 5550 Color Inkjet Printer</t>
  </si>
  <si>
    <t>Darrin Van Huff</t>
  </si>
  <si>
    <t>Xerox 1949</t>
  </si>
  <si>
    <t>Pamela Stobb</t>
  </si>
  <si>
    <t>Bionaire 99.97% HEPA Air Cleaner</t>
  </si>
  <si>
    <t>Helen Abelman</t>
  </si>
  <si>
    <t>Talkabout T8367</t>
  </si>
  <si>
    <t>Sibella Parks</t>
  </si>
  <si>
    <t>Hoover Portapowerª Portable Vacuum</t>
  </si>
  <si>
    <t>Peter McVee</t>
  </si>
  <si>
    <t>Bagged Rubber Bands</t>
  </si>
  <si>
    <t>Dixon Prang¨ Watercolor Pencils, 10-Color Set with Brush</t>
  </si>
  <si>
    <t>Thais Sissman</t>
  </si>
  <si>
    <t>Rogers Handheld Barrel Pencil Sharpener</t>
  </si>
  <si>
    <t>Kean Nguyen</t>
  </si>
  <si>
    <t>Fellowes Binding Cases</t>
  </si>
  <si>
    <t>Toby Swindell</t>
  </si>
  <si>
    <t>DAX Value U-Channel Document Frames, Easel Back</t>
  </si>
  <si>
    <t>Neola Schneider</t>
  </si>
  <si>
    <t>Xerox 1980</t>
  </si>
  <si>
    <t>Alice McCarthy</t>
  </si>
  <si>
    <t>Olvera Toch</t>
  </si>
  <si>
    <t>GBC ProClick Spines for 32-Hole Punch</t>
  </si>
  <si>
    <t>Sean O'Donnell</t>
  </si>
  <si>
    <t>Avery Hi-Liter¨ Smear-Safe Highlighters</t>
  </si>
  <si>
    <t>DS/HD IBM Formatted Diskettes, 200/Pack - Staples</t>
  </si>
  <si>
    <t>Tripp Lite Isotel 8 Ultra 8 Outlet Metal Surge</t>
  </si>
  <si>
    <t>David Kendrick</t>
  </si>
  <si>
    <t>Eldon Expressions Mahogany Wood Desk Collection</t>
  </si>
  <si>
    <t>Edward Nazzal</t>
  </si>
  <si>
    <t>Sanjit Jacobs</t>
  </si>
  <si>
    <t>Logitech Access Keyboard</t>
  </si>
  <si>
    <t>Hon 94000 Series Round Tables</t>
  </si>
  <si>
    <t>Karen Carlisle</t>
  </si>
  <si>
    <t>Avery Trapezoid Ring Binder, 3" Capacity, Black, 1040 sheets</t>
  </si>
  <si>
    <t>Meg O'Connel</t>
  </si>
  <si>
    <t>Kensington 7 Outlet MasterPiece Power Center with Fax/Phone Line Protection</t>
  </si>
  <si>
    <t>Anthony O'Donnell</t>
  </si>
  <si>
    <t>Belkin 8 Outlet SurgeMaster II Gold Surge Protector</t>
  </si>
  <si>
    <t>Luke Foster</t>
  </si>
  <si>
    <t>Micro Innovations 104 Keyboard</t>
  </si>
  <si>
    <t>Phillina Ober</t>
  </si>
  <si>
    <t>New Brunswick</t>
  </si>
  <si>
    <t>Adams Phone Message Book, 200 Message Capacity, 8 1/16Ó x 11Ó</t>
  </si>
  <si>
    <t>Claudia Miner</t>
  </si>
  <si>
    <t>Wilson Jones 1" Hanging DublLock¨ Ring Binders</t>
  </si>
  <si>
    <t>Jim Kriz</t>
  </si>
  <si>
    <t>DAX Wood Document Frame.</t>
  </si>
  <si>
    <t>Mike Vittorini</t>
  </si>
  <si>
    <t>GBC Therma-A-Bind 250T Electric Binding System</t>
  </si>
  <si>
    <t>Stefania Perrino</t>
  </si>
  <si>
    <t>Avery Hanging File Binders</t>
  </si>
  <si>
    <t>Jas O'Carroll</t>
  </si>
  <si>
    <t>Global Adaptabilitiesª Conference Tables</t>
  </si>
  <si>
    <t>Maureen Gastineau</t>
  </si>
  <si>
    <t>Sharp EL500L Fraction Calculator</t>
  </si>
  <si>
    <t>Kelly Lampkin</t>
  </si>
  <si>
    <t>OIC Colored Binder Clips, Assorted Sizes</t>
  </si>
  <si>
    <t>Allen Rosenblatt</t>
  </si>
  <si>
    <t>#10-4 1/8" x 9 1/2" Premium Diagonal Seam Envelopes</t>
  </si>
  <si>
    <t>Max Jones</t>
  </si>
  <si>
    <t>Fellowes Stor/Drawer¨ Steel Plusª Storage Drawers</t>
  </si>
  <si>
    <t>Hallie Redmond</t>
  </si>
  <si>
    <t>Hon Metal Bookcases, Putty</t>
  </si>
  <si>
    <t>Memorex 4.7GB DVD+RW, 3/Pack</t>
  </si>
  <si>
    <t>Anthony Witt</t>
  </si>
  <si>
    <t>Imation 3.5", RTS 247544 3M 3.5 DSDD, 10/Pack</t>
  </si>
  <si>
    <t>Jim Epp</t>
  </si>
  <si>
    <t>T28 WORLD</t>
  </si>
  <si>
    <t>Harold Dahlen</t>
  </si>
  <si>
    <t>Vinyl Sectional Post Binders</t>
  </si>
  <si>
    <t>Muhammed Yedwab</t>
  </si>
  <si>
    <t>Microsoft Internet Keyboard</t>
  </si>
  <si>
    <t>Rubbermaid ClusterMat Chairmats, Mat Size- 66" x 60", Lip 20" x 11" -90 Degree Angle</t>
  </si>
  <si>
    <t>Sylvia Foulston</t>
  </si>
  <si>
    <t>Hon 4-Shelf Metal Bookcases</t>
  </si>
  <si>
    <t>Lesro Sheffield Collection Coffee Table, End Table, Center Table, Corner Table</t>
  </si>
  <si>
    <t>Thea Hendricks</t>
  </si>
  <si>
    <t>Newfoundland</t>
  </si>
  <si>
    <t>Ionia McGrath</t>
  </si>
  <si>
    <t>Xerox 194</t>
  </si>
  <si>
    <t>Aaron Smayling</t>
  </si>
  <si>
    <t>Grip Seal Envelopes</t>
  </si>
  <si>
    <t>Karl Brown</t>
  </si>
  <si>
    <t>Barricks 18" x 48" Non-Folding Utility Table with Bottom Storage Shelf</t>
  </si>
  <si>
    <t>Sung Shariari</t>
  </si>
  <si>
    <t>Craig Carroll</t>
  </si>
  <si>
    <t>Holmes Odor Grabber</t>
  </si>
  <si>
    <t>Lela Donovan</t>
  </si>
  <si>
    <t>Avery Printable Repositionable Plastic Tabs</t>
  </si>
  <si>
    <t>Storex DuraTech Recycled Plastic Frosted Binders</t>
  </si>
  <si>
    <t>Nicole Brennan</t>
  </si>
  <si>
    <t>Xerox 1981</t>
  </si>
  <si>
    <t>Tanja Norvell</t>
  </si>
  <si>
    <t>Fellowes Bankers Boxª Stor/Drawer¨ Steel Plusª</t>
  </si>
  <si>
    <t>Emily Grady</t>
  </si>
  <si>
    <t>Memorex 4.7GB DVD-RAM, 3/Pack</t>
  </si>
  <si>
    <t>Sally Matthias</t>
  </si>
  <si>
    <t>Lena Creighton</t>
  </si>
  <si>
    <t>Wilson Jones Impact Binders</t>
  </si>
  <si>
    <t>Mitch Willingham</t>
  </si>
  <si>
    <t>Eldon Antistatic Chair Mats for Low to Medium Pile Carpets</t>
  </si>
  <si>
    <t>Justin Knight</t>
  </si>
  <si>
    <t>Wirebound Message Books, Four 2 3/4" x 5" Forms per Page, 600 Sets per Book</t>
  </si>
  <si>
    <t>Jim Radford</t>
  </si>
  <si>
    <t>g520</t>
  </si>
  <si>
    <t>Ritsa Hightower</t>
  </si>
  <si>
    <t>Bush Westfield Collection Bookcases, Fully Assembled</t>
  </si>
  <si>
    <t>Corey Catlett</t>
  </si>
  <si>
    <t>Accessory37</t>
  </si>
  <si>
    <t>Ibico Presentation Index for Binding Systems</t>
  </si>
  <si>
    <t>Bush Cubix Collection Bookcases, Fully Assembled</t>
  </si>
  <si>
    <t>Frank Merwin</t>
  </si>
  <si>
    <t>Deluxe Rollaway Locking File with Drawer</t>
  </si>
  <si>
    <t>Ed Jacobs</t>
  </si>
  <si>
    <t>Rush Hierlooms Collection Rich Wood Bookcases</t>
  </si>
  <si>
    <t>Avery 52</t>
  </si>
  <si>
    <t>Plymouth Boxed Rubber Bands by Plymouth</t>
  </si>
  <si>
    <t>Carol Darley</t>
  </si>
  <si>
    <t>Balt Solid Wood Rectangular Table</t>
  </si>
  <si>
    <t>Stefanie Holloman</t>
  </si>
  <si>
    <t>Executive Impressions 12" Wall Clock</t>
  </si>
  <si>
    <t>Noel Staavos</t>
  </si>
  <si>
    <t>Copiers and Fax</t>
  </si>
  <si>
    <t>Canon PC1060 Personal Laser Copier</t>
  </si>
  <si>
    <t>Shahid Shariari</t>
  </si>
  <si>
    <t>GBC DocuBind 200 Manual Binding Machine</t>
  </si>
  <si>
    <t>Barry Gonzalez</t>
  </si>
  <si>
    <t>SC-3160</t>
  </si>
  <si>
    <t>Maribeth Schnelling</t>
  </si>
  <si>
    <t>TDK 4.7GB DVD-R</t>
  </si>
  <si>
    <t>Harold Ryan</t>
  </si>
  <si>
    <t>Adesso Programmable 142-Key Keyboard</t>
  </si>
  <si>
    <t>Grant Thornton</t>
  </si>
  <si>
    <t>Peel &amp; Stick Add-On Corner Pockets</t>
  </si>
  <si>
    <t>Ted Trevino</t>
  </si>
  <si>
    <t>T60</t>
  </si>
  <si>
    <t>Carl Ludwig</t>
  </si>
  <si>
    <t>GBC Pre-Punched Binding Paper, Plastic, White, 8-1/2" x 11"</t>
  </si>
  <si>
    <t>Maxell 3.5" DS/HD IBM-Formatted Diskettes, 10/Pack</t>
  </si>
  <si>
    <t>Don Miller</t>
  </si>
  <si>
    <t>Newell 335</t>
  </si>
  <si>
    <t>Linda Southworth</t>
  </si>
  <si>
    <t>Belkin Premiere Surge Master II 8-outlet surge protector</t>
  </si>
  <si>
    <t>Lena Radford</t>
  </si>
  <si>
    <t>Global Push Button Manager's Chair, Indigo</t>
  </si>
  <si>
    <t>Dave Poirier</t>
  </si>
  <si>
    <t>Rediform S.O.S. Phone Message Books</t>
  </si>
  <si>
    <t>Liz MacKendrick</t>
  </si>
  <si>
    <t>Eldon Expressionsª Desk Accessory, Wood Pencil Holder, Oak</t>
  </si>
  <si>
    <t>Aleksandra Gannaway</t>
  </si>
  <si>
    <t>Belkin OmniView SE Rackmount Kit</t>
  </si>
  <si>
    <t>Boston School Pro Electric Pencil Sharpener, 1670</t>
  </si>
  <si>
    <t>Sean Christensen</t>
  </si>
  <si>
    <t>Strathmore Photo Mount Cards</t>
  </si>
  <si>
    <t>John Lucas</t>
  </si>
  <si>
    <t>Accessory35</t>
  </si>
  <si>
    <t>Nona Balk</t>
  </si>
  <si>
    <t>GBC ProClickª 150 Presentation Binding System</t>
  </si>
  <si>
    <t>Art Ferguson</t>
  </si>
  <si>
    <t>#10 Self-Seal White Envelopes</t>
  </si>
  <si>
    <t>Ed Ludwig</t>
  </si>
  <si>
    <t>Imation Printable White 80 Minute CD-R Spindle, 50/Pack</t>
  </si>
  <si>
    <t>Dana Halogen Swing-Arm Architect Lamp</t>
  </si>
  <si>
    <t>Annie Cyprus</t>
  </si>
  <si>
    <t>SANFORD Liquid Accentª Tank-Style Highlighters</t>
  </si>
  <si>
    <t>Canon PC940 Copier</t>
  </si>
  <si>
    <t>Wausau Papers Astrobrights¨ Colored Envelopes</t>
  </si>
  <si>
    <t>Roger Barcio</t>
  </si>
  <si>
    <t>Tenex Personal Project File with Scoop Front Design, Black</t>
  </si>
  <si>
    <t>Joni Blumstein</t>
  </si>
  <si>
    <t>GBC Standard Plastic Binding Systems' Combs</t>
  </si>
  <si>
    <t>Deanra Eno</t>
  </si>
  <si>
    <t>ACCOHIDE¨ 3-Ring Binder, Blue, 1"</t>
  </si>
  <si>
    <t>Trudy Schmidt</t>
  </si>
  <si>
    <t>Hon Comfortask¨ Task/Swivel Chairs</t>
  </si>
  <si>
    <t>Becky Pak</t>
  </si>
  <si>
    <t>SAFCO Arco Folding Chair</t>
  </si>
  <si>
    <t>Susan Vittorini</t>
  </si>
  <si>
    <t>Hammermill CopyPlus Copy Paper (20Lb. and 84 Bright)</t>
  </si>
  <si>
    <t>Tom Stivers</t>
  </si>
  <si>
    <t>Wilson Jones Suede Grain Vinyl Binders</t>
  </si>
  <si>
    <t>Alex Avila</t>
  </si>
  <si>
    <t>Euro Pro Shark Stick Mini Vacuum</t>
  </si>
  <si>
    <t>StarTAC 6500</t>
  </si>
  <si>
    <t>Roy Phan</t>
  </si>
  <si>
    <t>DIXON Ticonderoga¨ Erasable Checking Pencils</t>
  </si>
  <si>
    <t>Sung Pak</t>
  </si>
  <si>
    <t>Bevis Steel Folding Chairs</t>
  </si>
  <si>
    <t>Kean Thornton</t>
  </si>
  <si>
    <t>Hon iLevelª Computer Training Table</t>
  </si>
  <si>
    <t>Joe Kamberova</t>
  </si>
  <si>
    <t>Benjamin Venier</t>
  </si>
  <si>
    <t>Sanyo Counter Height Refrigerator with Crisper, 3.6 Cubic Foot, Stainless Steel/Black</t>
  </si>
  <si>
    <t>Brian Moss</t>
  </si>
  <si>
    <t>Memorex 80 Minute CD-R, 30/Pack</t>
  </si>
  <si>
    <t>Alejandro Grove</t>
  </si>
  <si>
    <t>Sam Zeldin</t>
  </si>
  <si>
    <t>Heavy-Duty E-Z-D¨ Binders</t>
  </si>
  <si>
    <t>Katherine Murray</t>
  </si>
  <si>
    <t>Epson LQ-870 Dot Matrix Printer</t>
  </si>
  <si>
    <t>Xerox 1978</t>
  </si>
  <si>
    <t>Paul Knutson</t>
  </si>
  <si>
    <t>Barry Franz</t>
  </si>
  <si>
    <t>3M Polarizing Task Lamp with Clamp Arm, Light Gray</t>
  </si>
  <si>
    <t>Sandra Glassco</t>
  </si>
  <si>
    <t>Imation 3.5, DISKETTE 44766 HGHLD3.52HD/FM, 10/Pack</t>
  </si>
  <si>
    <t>Alan Hwang</t>
  </si>
  <si>
    <t>Hoover Replacement Belts For Soft Guardª &amp; Commercial Ltweight Upright Vacs, 2/Pk</t>
  </si>
  <si>
    <t>Keytronic 105-Key Spanish Keyboard</t>
  </si>
  <si>
    <t>Tripp Lite Isotel 6 Outlet Surge Protector with Fax/Modem Protection</t>
  </si>
  <si>
    <t>James Galang</t>
  </si>
  <si>
    <t>Avery 482</t>
  </si>
  <si>
    <t>Rob Lucas</t>
  </si>
  <si>
    <t>ACCOHIDE¨ Binder by Acco</t>
  </si>
  <si>
    <t>Todd Boyes</t>
  </si>
  <si>
    <t>Global Troyª Executive Leather Low-Back Tilter</t>
  </si>
  <si>
    <t>Seth Thomas 12" Clock w/ Goldtone Case</t>
  </si>
  <si>
    <t>Nora Paige</t>
  </si>
  <si>
    <t>#10- 4 1/8" x 9 1/2" Recycled Envelopes</t>
  </si>
  <si>
    <t>Andy Reiter</t>
  </si>
  <si>
    <t>Xerox 1893</t>
  </si>
  <si>
    <t>Avery 479</t>
  </si>
  <si>
    <t>Belkin 8 Outlet Surge Protector</t>
  </si>
  <si>
    <t>Lori Olson</t>
  </si>
  <si>
    <t>Eldon Expressions Punched Metal &amp; Wood Desk Accessories, Black &amp; Cherry</t>
  </si>
  <si>
    <t>Vivian Mathis</t>
  </si>
  <si>
    <t>Bevis Round Conference Table Top, X-Base</t>
  </si>
  <si>
    <t>Avery 494</t>
  </si>
  <si>
    <t>Jack O'Briant</t>
  </si>
  <si>
    <t>Ibico Covers for Plastic or Wire Binding Elements</t>
  </si>
  <si>
    <t>Newell 336</t>
  </si>
  <si>
    <t>Barrel Sharpener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</si>
  <si>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</si>
  <si>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</si>
  <si>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</si>
  <si>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</si>
  <si>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</si>
  <si>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Durable Pressboard Binders</t>
  </si>
  <si>
    <t>Clay Cheatham</t>
  </si>
  <si>
    <t>Okidata Pacemark 4410N Wide Format Dot Matrix Printer</t>
  </si>
  <si>
    <t>Grant Donatelli</t>
  </si>
  <si>
    <t>Bush Advantage Collection¨ Round Conference Table</t>
  </si>
  <si>
    <t>Grant Carroll</t>
  </si>
  <si>
    <t>Col-Erase¨ Pencils with Erasers</t>
  </si>
  <si>
    <t>Rob Haberlin</t>
  </si>
  <si>
    <t>Office Star - Task Chair with Contemporary Loop Arms</t>
  </si>
  <si>
    <t>Maribeth Dona</t>
  </si>
  <si>
    <t>Bush Westfield Collection Bookcases, Dark Cherry Finish, Fully Assembled</t>
  </si>
  <si>
    <t>Liz Thompson</t>
  </si>
  <si>
    <t>Acco Four Pocket Poly Ring Binder with Label Holder, Smoke, 1"</t>
  </si>
  <si>
    <t>Fred Harton</t>
  </si>
  <si>
    <t>Eldon Executive Woodline II Cherry Finish Desk Accessories</t>
  </si>
  <si>
    <t>Jennifer Braxton</t>
  </si>
  <si>
    <t>Fellowes Strictly Business¨ Drawer File, Letter/Legal Size</t>
  </si>
  <si>
    <t>Sara Luxemburg</t>
  </si>
  <si>
    <t>Xerox 1899</t>
  </si>
  <si>
    <t>Sally Hughsby</t>
  </si>
  <si>
    <t>Holmes Replacement Filter for HEPA Air Cleaner, Large Room</t>
  </si>
  <si>
    <t>Vivek Gonzalez</t>
  </si>
  <si>
    <t>Avery Round Ring Poly Binders</t>
  </si>
  <si>
    <t>Adam Hart</t>
  </si>
  <si>
    <t>Xerox 1929</t>
  </si>
  <si>
    <t>Andrew Allen</t>
  </si>
  <si>
    <t>GBC White Gloss Covers, Plain Front</t>
  </si>
  <si>
    <t>Michael Moore</t>
  </si>
  <si>
    <t>i470</t>
  </si>
  <si>
    <t>Bobby Elias</t>
  </si>
  <si>
    <t>Cardinal Poly Pocket Divider Pockets for Ring Binders</t>
  </si>
  <si>
    <t>1726 Digital Answering Machine</t>
  </si>
  <si>
    <t>Alan Barnes</t>
  </si>
  <si>
    <t>Self-Adhesive Address Labels for Typewriters by Universal</t>
  </si>
  <si>
    <t>Roland Fjeld</t>
  </si>
  <si>
    <t>TDK 4.7GB DVD+RW</t>
  </si>
  <si>
    <t>Cindy Chapman</t>
  </si>
  <si>
    <t>Fuji Slim Jewel Case CD-R</t>
  </si>
  <si>
    <t>Brenda Bowman</t>
  </si>
  <si>
    <t>Newell 315</t>
  </si>
  <si>
    <t>Art Miller</t>
  </si>
  <si>
    <t>Riverside Palais Royal Lawyers Bookcase, Royale Cherry Finish</t>
  </si>
  <si>
    <t>Christine Kargatis</t>
  </si>
  <si>
    <t>Avery 504</t>
  </si>
  <si>
    <t>Eileen Kiefer</t>
  </si>
  <si>
    <t>*Staples* Letter Opener</t>
  </si>
  <si>
    <t>Patrick Ryan</t>
  </si>
  <si>
    <t>While You Were Out Pads, 50 per Pad, 4 x 5 1/4, Green Cycle</t>
  </si>
  <si>
    <t>Jack Garza</t>
  </si>
  <si>
    <t>Fuji 5.2GB DVD-RAM</t>
  </si>
  <si>
    <t>Nathan Cano</t>
  </si>
  <si>
    <t>Hon Non-Folding Utility Tables</t>
  </si>
  <si>
    <t>Troy Blackwell</t>
  </si>
  <si>
    <t>Sanyo 2.5 Cubic Foot Mid-Size Office Refrigerators</t>
  </si>
  <si>
    <t>Bill Shonely</t>
  </si>
  <si>
    <t>Xerox 1905</t>
  </si>
  <si>
    <t>Accessory8</t>
  </si>
  <si>
    <t>Christopher Martinez</t>
  </si>
  <si>
    <t>StarTAC 7760</t>
  </si>
  <si>
    <t>Jay Fine</t>
  </si>
  <si>
    <t>TDK 4.7GB DVD-R Spindle, 15/Pack</t>
  </si>
  <si>
    <t>Multi-Use Personal File Cart and Caster Set, Three Stacking Bins</t>
  </si>
  <si>
    <t>Philip Brown</t>
  </si>
  <si>
    <t>Kensington 6 Outlet MasterPiece¨ HOMEOFFICE Power Control Center</t>
  </si>
  <si>
    <t>Xerox 1938</t>
  </si>
  <si>
    <t>Jane Waco</t>
  </si>
  <si>
    <t>Denny Ordway</t>
  </si>
  <si>
    <t>Fellowes Smart Design 104-Key Enhanced Keyboard, PS/2 Adapter, Platinum</t>
  </si>
  <si>
    <t>Lycoris Saunders</t>
  </si>
  <si>
    <t>Belkin ErgoBoardª Keyboard</t>
  </si>
  <si>
    <t>Wilson Jones Custom Binder Spines &amp; Labels</t>
  </si>
  <si>
    <t>Eugene Barchas</t>
  </si>
  <si>
    <t>Avery Binder Labels</t>
  </si>
  <si>
    <t>Hon Every-Day¨ Chair Series Swivel Task Chairs</t>
  </si>
  <si>
    <t>Ross Baird</t>
  </si>
  <si>
    <t>Panasonic KP-310 Heavy-Duty Electric Pencil Sharpener</t>
  </si>
  <si>
    <t>Luke Schmidt</t>
  </si>
  <si>
    <t>Gyration Ultra Professional Cordless Optical Suite</t>
  </si>
  <si>
    <t>Artistic Insta-Plaque</t>
  </si>
  <si>
    <t>GE 4 Foot Flourescent Tube, 40 Watt</t>
  </si>
  <si>
    <t>Bill Tyler</t>
  </si>
  <si>
    <t>Yoseph Carroll</t>
  </si>
  <si>
    <t>Office Star - Mid Back Dual function Ergonomic High Back Chair with 2-Way Adjustable Arms</t>
  </si>
  <si>
    <t>Nora Price</t>
  </si>
  <si>
    <t>Xerox 212</t>
  </si>
  <si>
    <t>Tim Brockman</t>
  </si>
  <si>
    <t>Microsoft Natural Keyboard Elite</t>
  </si>
  <si>
    <t>Xerox 1930</t>
  </si>
  <si>
    <t>Alan Schoenberger</t>
  </si>
  <si>
    <t>iDEN i550</t>
  </si>
  <si>
    <t>Multimedia Mailers</t>
  </si>
  <si>
    <t>Charles Crestani</t>
  </si>
  <si>
    <t>Ibico Hi-Tech Manual Binding System</t>
  </si>
  <si>
    <t>Tracy Zic</t>
  </si>
  <si>
    <t>Xerox 21</t>
  </si>
  <si>
    <t>Christy Brittain</t>
  </si>
  <si>
    <t>Jasper Cacioppo</t>
  </si>
  <si>
    <t>Avery Reinforcements for Hole-Punch Pages</t>
  </si>
  <si>
    <t>David Wiener</t>
  </si>
  <si>
    <t>Xerox 224</t>
  </si>
  <si>
    <t>Crayola Anti Dust Chalk, 12/Pack</t>
  </si>
  <si>
    <t>Helen Andreada</t>
  </si>
  <si>
    <t>Epson C82 Color Inkjet Printer</t>
  </si>
  <si>
    <t>Paul Prost</t>
  </si>
  <si>
    <t>Bradley Nguyen</t>
  </si>
  <si>
    <t>Motorola SB4200 Cable Modem</t>
  </si>
  <si>
    <t>Matt Collister</t>
  </si>
  <si>
    <t>IBM 3.5" DS/HD IBM Formatted Diskettes, 50/Pack</t>
  </si>
  <si>
    <t>Annie Thurman</t>
  </si>
  <si>
    <t>Accessory39</t>
  </si>
  <si>
    <t>Bradley Drucker</t>
  </si>
  <si>
    <t>Economy Rollaway Files</t>
  </si>
  <si>
    <t>Richard Eichhorn</t>
  </si>
  <si>
    <t>Nu-Form 106-Key Ergonomic Keyboard w/ Touchpad</t>
  </si>
  <si>
    <t>Alan Haines</t>
  </si>
  <si>
    <t>Brad Eason</t>
  </si>
  <si>
    <t>XtraLife¨ ClearVueª Slant-D¨ Ring Binders by Cardinal</t>
  </si>
  <si>
    <t>James Lanier</t>
  </si>
  <si>
    <t>Sterling Rubber Bands by Alliance</t>
  </si>
  <si>
    <t>Raymond Book</t>
  </si>
  <si>
    <t>Smead Alpha-Z Color-Coded Name Labels First Letter Starter Set</t>
  </si>
  <si>
    <t>Neil Knudson</t>
  </si>
  <si>
    <t>Avery 508</t>
  </si>
  <si>
    <t>Ben Peterman</t>
  </si>
  <si>
    <t>Avery Hi-Liter GlideStik Fluorescent Highlighter, Yellow Ink</t>
  </si>
  <si>
    <t>Sandra Flanagan</t>
  </si>
  <si>
    <t>Belkin F5C206VTEL 6 Outlet Surge</t>
  </si>
  <si>
    <t>Michael Granlund</t>
  </si>
  <si>
    <t>Xerox 1927</t>
  </si>
  <si>
    <t>Dixon My First Ticonderoga Pencil, #2</t>
  </si>
  <si>
    <t>DAX Two-Tone Rosewood/Black Document Frame, Desktop, 5 x 7</t>
  </si>
  <si>
    <t>Cathy Armstrong</t>
  </si>
  <si>
    <t>Acco PRESSTEX¨ Data Binder with Storage Hooks, Dark Blue, 14 7/8" X 11"</t>
  </si>
  <si>
    <t>Alex Grayson</t>
  </si>
  <si>
    <t>Belkin 105-Key Black Keyboard</t>
  </si>
  <si>
    <t>Lisa DeCherney</t>
  </si>
  <si>
    <t>Memorex 4.7GB DVD+R, 3/Pack</t>
  </si>
  <si>
    <t>Gary McGarr</t>
  </si>
  <si>
    <t>LX 677</t>
  </si>
  <si>
    <t>Steve Nguyen</t>
  </si>
  <si>
    <t>Perma STOR-ALLª Hanging File Box, 13 1/8"W x 12 1/4"D x 10 1/2"H</t>
  </si>
  <si>
    <t>Susan Gilcrest</t>
  </si>
  <si>
    <t>Accessory32</t>
  </si>
  <si>
    <t>StarTAC 7797</t>
  </si>
  <si>
    <t>Mick Crebagga</t>
  </si>
  <si>
    <t>Global High-Back Leather Tilter, Burgundy</t>
  </si>
  <si>
    <t>Roy Skaria</t>
  </si>
  <si>
    <t>Catalog Binders with Expanding Posts</t>
  </si>
  <si>
    <t>Giulietta Baptist</t>
  </si>
  <si>
    <t>Verbatim DVD-RAM, 5.2GB, Rewritable, Type 1, DS</t>
  </si>
  <si>
    <t>Nicole Hansen</t>
  </si>
  <si>
    <t>Tom Prescott</t>
  </si>
  <si>
    <t>Eldon¨ 500 Classª Desk Accessories</t>
  </si>
  <si>
    <t>Ken Heidel</t>
  </si>
  <si>
    <t>Xerox 1881</t>
  </si>
  <si>
    <t>Logan Haushalter</t>
  </si>
  <si>
    <t>Acco Pressboard Covers with Storage Hooks, 14 7/8" x 11", Dark Blue</t>
  </si>
  <si>
    <t>Ann Blume</t>
  </si>
  <si>
    <t>Riverleaf Stik-Withit¨ Designer Note Cubes¨</t>
  </si>
  <si>
    <t>Lena Cacioppo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</si>
  <si>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</si>
  <si>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</si>
  <si>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</si>
  <si>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</si>
  <si>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</si>
  <si>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Self-Adhesive Removable Labels</t>
  </si>
  <si>
    <t>Herbert Flentye</t>
  </si>
  <si>
    <t>Avanti 1.7 Cu. Ft. Refrigerator</t>
  </si>
  <si>
    <t>Global Leather Task Chair, Black</t>
  </si>
  <si>
    <t>Staples Brown Kraft Recycled Clasp Envelopes</t>
  </si>
  <si>
    <t>Steven Ward</t>
  </si>
  <si>
    <t>Avery 514</t>
  </si>
  <si>
    <t>Lynn Smith</t>
  </si>
  <si>
    <t>Sanford Liquid Accent Highlighters</t>
  </si>
  <si>
    <t>Evan Henry</t>
  </si>
  <si>
    <t>Xerox 2</t>
  </si>
  <si>
    <t>Marc Harrigan</t>
  </si>
  <si>
    <t>Acco¨ Hot Clipsª Clips to Go</t>
  </si>
  <si>
    <t>Erin Smith</t>
  </si>
  <si>
    <t>Deflect-o SuperTrayª Unbreakable Stackable Tray, Letter, Black</t>
  </si>
  <si>
    <t>Alan Dominguez</t>
  </si>
  <si>
    <t>Ken Black</t>
  </si>
  <si>
    <t>Mead 1st Gear 2" Zipper Binder, Asst. Colors</t>
  </si>
  <si>
    <t>Deirdre Greer</t>
  </si>
  <si>
    <t>Imation 3.5 IBM Formatted Diskettes, 10/Box</t>
  </si>
  <si>
    <t>Imation Neon Mac Format Diskettes, 10/Pack</t>
  </si>
  <si>
    <t>Thomas Thornton</t>
  </si>
  <si>
    <t>Eldon Portable Mobile Manager</t>
  </si>
  <si>
    <t>StarTAC 8000</t>
  </si>
  <si>
    <t>Xerox 1885</t>
  </si>
  <si>
    <t>Avery Flip-Chart Easel Binder, Black</t>
  </si>
  <si>
    <t>Keith Herrera</t>
  </si>
  <si>
    <t>Boston 19500 Mighty Mite Electric Pencil Sharpener</t>
  </si>
  <si>
    <t>*Staples* Highlighting Markers</t>
  </si>
  <si>
    <t>Snap-A-Way¨ Black Print Carbonless Ruled Speed Letter, Triplicate</t>
  </si>
  <si>
    <t>Jack Lebron</t>
  </si>
  <si>
    <t>Conquestª 14 Commercial Heavy-Duty Upright Vacuum, Collection System, Accessory Kit</t>
  </si>
  <si>
    <t>Tennsco Snap-Together Open Shelving Units, Starter Sets and Add-On Units</t>
  </si>
  <si>
    <t>Home/Office Personal File Carts</t>
  </si>
  <si>
    <t>Christine Sundaresam</t>
  </si>
  <si>
    <t>Eldon Cleatmat Plusª Chair Mats for High Pile Carpets</t>
  </si>
  <si>
    <t>Bruce Stewart</t>
  </si>
  <si>
    <t>Xerox 213</t>
  </si>
  <si>
    <t>Wilson Jones Hanging View Binder, White, 1"</t>
  </si>
  <si>
    <t>Staples Metal Binder Clips</t>
  </si>
  <si>
    <t>Avery 51</t>
  </si>
  <si>
    <t>Boston 16765 Mini Stand Up Battery Pencil Sharpener</t>
  </si>
  <si>
    <t>Allen Golden</t>
  </si>
  <si>
    <t>Xerox 1948</t>
  </si>
  <si>
    <t>Aaron Bergman</t>
  </si>
  <si>
    <t>Avery 49</t>
  </si>
  <si>
    <t>Avery 491</t>
  </si>
  <si>
    <t>Executive Impressions 14" Two-Color Numerals Wall Clock</t>
  </si>
  <si>
    <t>Hewlett-Packard 4.7GB DVD+R Discs</t>
  </si>
  <si>
    <t>Bruce Money</t>
  </si>
  <si>
    <t>Coloredge Poster Frame</t>
  </si>
  <si>
    <t>Tamara Willingham</t>
  </si>
  <si>
    <t>Liz Price</t>
  </si>
  <si>
    <t>Xerox 1947</t>
  </si>
  <si>
    <t>Dan Campbell</t>
  </si>
  <si>
    <t>Sanford 52201 APSCO Electric Pencil Sharpener</t>
  </si>
  <si>
    <t>Kelly Andreada</t>
  </si>
  <si>
    <t>Crate-A-Filesª</t>
  </si>
  <si>
    <t>Victoria Pisteka</t>
  </si>
  <si>
    <t>Pressboard Data Binder, Crimson, 12" X 8 1/2"</t>
  </si>
  <si>
    <t>Erica Bern</t>
  </si>
  <si>
    <t>GBC DocuBind P100 Manual Binding Machine</t>
  </si>
  <si>
    <t>Scott Cohen</t>
  </si>
  <si>
    <t>Executive Impressions 13" Chairman Wall Clock</t>
  </si>
  <si>
    <t>Boston 1730 StandUp Electric Pencil Sharpener</t>
  </si>
  <si>
    <t>Avery 497</t>
  </si>
  <si>
    <t>Michael Paige</t>
  </si>
  <si>
    <t>Master Giant Foot¨ Doorstop, Safety Yellow</t>
  </si>
  <si>
    <t>Scott Williamson</t>
  </si>
  <si>
    <t>Bevis Round Conference Table Top &amp; Single Column Base</t>
  </si>
  <si>
    <t>Ryan Crowe</t>
  </si>
  <si>
    <t>HP Office Paper (20Lb. and 87 Bright)</t>
  </si>
  <si>
    <t>DAX Contemporary Wood Frame with Silver Metal Mat, Desktop, 11 x 14 Size</t>
  </si>
  <si>
    <t>Dennis Bolton</t>
  </si>
  <si>
    <t>Satellite Sectional Post Binders</t>
  </si>
  <si>
    <t>Tyvek¨ Side-Opening Peel &amp; Seel¨ Expanding Envelopes</t>
  </si>
  <si>
    <t>Odella Nelson</t>
  </si>
  <si>
    <t>80 Minute Slim Jewel Case CD-R , 10/Pack - Staples</t>
  </si>
  <si>
    <t>Clytie Kelty</t>
  </si>
  <si>
    <t>Fellowes 17-key keypad for PS/2 interface</t>
  </si>
  <si>
    <t>Peel &amp; Seel¨ Recycled Catalog Envelopes, Brown</t>
  </si>
  <si>
    <t>Deflect-O¨ Glasstiqueª Clear Desk Accessories</t>
  </si>
  <si>
    <t>Christina Anderson</t>
  </si>
  <si>
    <t>Office Star - Contemporary Task Swivel chair with 2-way adjustable arms, Plum</t>
  </si>
  <si>
    <t>Adrian Hane</t>
  </si>
  <si>
    <t>Iris Project Case</t>
  </si>
  <si>
    <t>Adams Telephone Message Book W/Dividers/Space For Phone Numbers, 5 1/4"X8 1/2", 300/Messages</t>
  </si>
  <si>
    <t>Eldon¨ 400 Classª Desk Accessories, Black Carbon</t>
  </si>
  <si>
    <t>Lindsay Williams</t>
  </si>
  <si>
    <t>PC Concepts 116 Key Quantum 3000 Keyboard</t>
  </si>
  <si>
    <t>Max Engle</t>
  </si>
  <si>
    <t>Fellowes Twister Kit, Gray/Clear, 3/pkg</t>
  </si>
  <si>
    <t>Bretford CR8500 Series Meeting Room Furniture</t>
  </si>
  <si>
    <t>Neil French</t>
  </si>
  <si>
    <t>Michael Stewart</t>
  </si>
  <si>
    <t>Imation DVD-RAM discs</t>
  </si>
  <si>
    <t>Giulietta Dortch</t>
  </si>
  <si>
    <t>Wirebound Message Forms, Four 2 3/4 x 5 Forms per Page, Pink Paper</t>
  </si>
  <si>
    <t>Speediset Carbonless Redi-Letter¨ 7" x 8 1/2"</t>
  </si>
  <si>
    <t>Xylona Price</t>
  </si>
  <si>
    <t>*Staples* vLetter Openers, 2/Pack</t>
  </si>
  <si>
    <t>Global Leather and Oak Executive Chair, Black</t>
  </si>
  <si>
    <t>Rob Dowd</t>
  </si>
  <si>
    <t>Letter Size Cart</t>
  </si>
  <si>
    <t>Randy Bradley</t>
  </si>
  <si>
    <t>Sean Wendt</t>
  </si>
  <si>
    <t>Newell 346</t>
  </si>
  <si>
    <t>John Castell</t>
  </si>
  <si>
    <t>Mark Haberlin</t>
  </si>
  <si>
    <t>Sanford Prismacolor¨ Professional Thick Lead Art Pencils, 36-Color Set</t>
  </si>
  <si>
    <t>Lauren Leatherbury</t>
  </si>
  <si>
    <t>Pete Takahito</t>
  </si>
  <si>
    <t>Tonja Turnell</t>
  </si>
  <si>
    <t>SAFCO PlanMaster Heigh-Adjustable Drafting Table Base, 43w x 30d x 30-37h, Black</t>
  </si>
  <si>
    <t>William Brown</t>
  </si>
  <si>
    <t>Irene Maddox</t>
  </si>
  <si>
    <t>Khloe Miller</t>
  </si>
  <si>
    <t>Eldon ClusterMat Chair Mat with Cordless Antistatic Protection</t>
  </si>
  <si>
    <t>Sauder Forest Hills Library, Woodland Oak Finish</t>
  </si>
  <si>
    <t>Kelly Williams</t>
  </si>
  <si>
    <t>Carl Weiss</t>
  </si>
  <si>
    <t>Holmes Replacement Filter for HEPA Air Cleaner, Medium Room</t>
  </si>
  <si>
    <t>Don Jones</t>
  </si>
  <si>
    <t>Unpadded Memo Slips</t>
  </si>
  <si>
    <t>Frank Carlisle</t>
  </si>
  <si>
    <t>Manila Recycled Extra-Heavyweight Clasp Envelopes, 6" x 9"</t>
  </si>
  <si>
    <t>Xerox 1966</t>
  </si>
  <si>
    <t>Anna Andreadi</t>
  </si>
  <si>
    <t>HP Office Recycled Paper (20Lb. and 87 Bright)</t>
  </si>
  <si>
    <t>KF 788</t>
  </si>
  <si>
    <t>Beth Thompson</t>
  </si>
  <si>
    <t>Wirebound Service Call Books, 5 1/2" x 4"</t>
  </si>
  <si>
    <t>Binding Machine Supplies</t>
  </si>
  <si>
    <t>Anna Gayman</t>
  </si>
  <si>
    <t>Imation 3.5" Unformatted DS/HD Diskettes, 10/Box</t>
  </si>
  <si>
    <t>Rick Hansen</t>
  </si>
  <si>
    <t>Xerox 1895</t>
  </si>
  <si>
    <t>Gary Hansen</t>
  </si>
  <si>
    <t>Aluminum Document Frame</t>
  </si>
  <si>
    <t>DAX Cubicle Frames - 8x10</t>
  </si>
  <si>
    <t>Dennis Kane</t>
  </si>
  <si>
    <t>Raymond Fair</t>
  </si>
  <si>
    <t>Eldon Jumbo ProFileª Portable File Boxes Graphite/Black</t>
  </si>
  <si>
    <t>Theresa Swint</t>
  </si>
  <si>
    <t>GBC DocuBind 300 Electric Binding Machine</t>
  </si>
  <si>
    <t>Imation 3.5" IBM-Formatted Diskettes, 10/Pack</t>
  </si>
  <si>
    <t>Kristina Nunn</t>
  </si>
  <si>
    <t>Kensington 6 Outlet Guardian Standard Surge Protector</t>
  </si>
  <si>
    <t>Sean Miller</t>
  </si>
  <si>
    <t>Nancy Lomonaco</t>
  </si>
  <si>
    <t>Global Airflow Leather Mesh Back Chair, Black</t>
  </si>
  <si>
    <t>Xerox 1880</t>
  </si>
  <si>
    <t>Shirley Jackson</t>
  </si>
  <si>
    <t>Guy Thornton</t>
  </si>
  <si>
    <t>David Philippe</t>
  </si>
  <si>
    <t>Accessory21</t>
  </si>
  <si>
    <t>Avery Legal 4-Ring Binder</t>
  </si>
  <si>
    <t>Ann Chong</t>
  </si>
  <si>
    <t>Avery Arch Ring Binders</t>
  </si>
  <si>
    <t>Nat Gilpin</t>
  </si>
  <si>
    <t>Dual Level, Single-Width Filing Carts</t>
  </si>
  <si>
    <t>Maurice Satty</t>
  </si>
  <si>
    <t>Fellowes Personal Hanging Folder Files, Navy</t>
  </si>
  <si>
    <t>Joy Bell</t>
  </si>
  <si>
    <t>Deflect-o RollaMat Studded, Beveled Mat for Medium Pile Carpeting</t>
  </si>
  <si>
    <t>Filia McAdams</t>
  </si>
  <si>
    <t>Belkin 325VA UPS Surge Protector, 6'</t>
  </si>
  <si>
    <t>Ellis Ballard</t>
  </si>
  <si>
    <t>3M Office Air Cleaner</t>
  </si>
  <si>
    <t>Eric Murdock</t>
  </si>
  <si>
    <t>Xerox 200</t>
  </si>
  <si>
    <t>Skye Norling</t>
  </si>
  <si>
    <t>Personal Creationsª Ink Jet Cards and Labels</t>
  </si>
  <si>
    <t>Toby Grace</t>
  </si>
  <si>
    <t>Master Caster Door Stop, Brown</t>
  </si>
  <si>
    <t>Arianne Irving</t>
  </si>
  <si>
    <t>Phillip Flathmann</t>
  </si>
  <si>
    <t>Lexmark Z25 Color Inkjet Printer</t>
  </si>
  <si>
    <t>Michael Kennedy</t>
  </si>
  <si>
    <t>Seth Thomas 8 1/2" Cubicle Clock</t>
  </si>
  <si>
    <t>Henry Goldwyn</t>
  </si>
  <si>
    <t>Quartet Omega¨ Colored Chalk, 12/Pack</t>
  </si>
  <si>
    <t>Accessory28</t>
  </si>
  <si>
    <t>Adam Shillingsburg</t>
  </si>
  <si>
    <t>Katharine Harms</t>
  </si>
  <si>
    <t>6" Cubicle Wall Clock, Black</t>
  </si>
  <si>
    <t>Joseph Holt</t>
  </si>
  <si>
    <t>Bretford Rectangular Conference Table Tops</t>
  </si>
  <si>
    <t>Ricardo Emerson</t>
  </si>
  <si>
    <t>Imation 3.5" Diskettes, IBM Format, DS/HD, 10/Box, Neon</t>
  </si>
  <si>
    <t>Nathan Mautz</t>
  </si>
  <si>
    <t>Acme¨ Box Cutter Scissors</t>
  </si>
  <si>
    <t>Anna Haberlin</t>
  </si>
  <si>
    <t>DAX Solid Wood Frames</t>
  </si>
  <si>
    <t>Ralph Arnett</t>
  </si>
  <si>
    <t>Alan Shonely</t>
  </si>
  <si>
    <t>Julie Prescott</t>
  </si>
  <si>
    <t>Cynthia Arntzen</t>
  </si>
  <si>
    <t>Jill Fjeld</t>
  </si>
  <si>
    <t>Eureka Sanitaire ¨ Multi-Pro Heavy-Duty Upright, Disposable Bags</t>
  </si>
  <si>
    <t>Boston Electric Pencil Sharpener, Model 1818, Charcoal Black</t>
  </si>
  <si>
    <t>Max Ludwig</t>
  </si>
  <si>
    <t>Acme Design Line 8" Stainless Steel Bent Scissors w/Champagne Handles, 3-1/8" Cut</t>
  </si>
  <si>
    <t>Tennsco Industrial Shelving</t>
  </si>
  <si>
    <t>Natalie Webber</t>
  </si>
  <si>
    <t>Fellowes Black Plastic Comb Bindings</t>
  </si>
  <si>
    <t>Brooke Gillingham</t>
  </si>
  <si>
    <t>Lindsay Castell</t>
  </si>
  <si>
    <t>Canon MP25DIII Desktop Whisper-Quiet Printing Calculator</t>
  </si>
  <si>
    <t>Victor Price</t>
  </si>
  <si>
    <t>GBC VeloBinder Strips</t>
  </si>
  <si>
    <t>Peter Buhler</t>
  </si>
  <si>
    <t>Erin Ashbrook</t>
  </si>
  <si>
    <t>Logan Currie</t>
  </si>
  <si>
    <t>Deflect-o EconoMat Nonstudded, No Bevel Mat</t>
  </si>
  <si>
    <t>Phillip Breyer</t>
  </si>
  <si>
    <t>Dianna Arnett</t>
  </si>
  <si>
    <t>Accessory24</t>
  </si>
  <si>
    <t>Dean Katz</t>
  </si>
  <si>
    <t>GBC Standard Plastic Binding Systems Combs</t>
  </si>
  <si>
    <t>Eureka Recycled Copy Paper 8 1/2" x 11", Ream</t>
  </si>
  <si>
    <t>Eureka Disposable Bags for Sanitaire¨ Vibra Groomer I¨ Upright Vac</t>
  </si>
  <si>
    <t>Shaun Weien</t>
  </si>
  <si>
    <t>GBC Laser Imprintable Binding System Covers, Desert Sand</t>
  </si>
  <si>
    <t>Fellowes Super Stor/Drawer¨</t>
  </si>
  <si>
    <t>Steve Chapman</t>
  </si>
  <si>
    <t>Eldon Advantage¨ Foldable Chair Mats for Low Pile Carpets</t>
  </si>
  <si>
    <t>Andy Gerbode</t>
  </si>
  <si>
    <t>Debra Catini</t>
  </si>
  <si>
    <t>Linden¨ 12" Wall Clock With Oak Frame</t>
  </si>
  <si>
    <t>Mary Zewe</t>
  </si>
  <si>
    <t>Brown Kraft Recycled Envelopes</t>
  </si>
  <si>
    <t>Space Solutions Commercial Steel Shelving</t>
  </si>
  <si>
    <t>Keytronic Designer 104- Key Black Keyboard</t>
  </si>
  <si>
    <t>Eric Hoffmann</t>
  </si>
  <si>
    <t>Tyvek Interoffice Envelopes, 9 1/2" x 12 1/2", 100/Box</t>
  </si>
  <si>
    <t>Greg Matthias</t>
  </si>
  <si>
    <t>Global Leather Executive Chair</t>
  </si>
  <si>
    <t>Kimberly Carter</t>
  </si>
  <si>
    <t>O'Sullivan Manor Hill 2-Door Library in Brianna Oak</t>
  </si>
  <si>
    <t>Mark Packer</t>
  </si>
  <si>
    <t>Fellowes Basic 104-Key Keyboard, Platinum</t>
  </si>
  <si>
    <t>Darren Koutras</t>
  </si>
  <si>
    <t>Accessory29</t>
  </si>
  <si>
    <t>Jill Stevenson</t>
  </si>
  <si>
    <t>Xerox 1910</t>
  </si>
  <si>
    <t>Resi Polking</t>
  </si>
  <si>
    <t>Avery 05222 Permanent Self-Adhesive File Folder Labels for Typewriters, on Rolls, White, 250/Roll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</si>
  <si>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</si>
  <si>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</si>
  <si>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</si>
  <si>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</si>
  <si>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</si>
  <si>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</si>
  <si>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Darren Budd</t>
  </si>
  <si>
    <t>Electrix Fluorescent Magnifier Lamps &amp; Weighted Base</t>
  </si>
  <si>
    <t>Acco Pressboard Covers with Storage Hooks, 14 7/8" x 11", Light Blue</t>
  </si>
  <si>
    <t>O'Sullivan 5-Shelf Heavy-Duty Bookcases</t>
  </si>
  <si>
    <t>Tom Boeckenhauer</t>
  </si>
  <si>
    <t>Meg Tillman</t>
  </si>
  <si>
    <t>Bevis Round Bullnose 29" High Table Top</t>
  </si>
  <si>
    <t>Erica Hackney</t>
  </si>
  <si>
    <t>Tenex B1-RE Series Chair Mats for Low Pile Carpets</t>
  </si>
  <si>
    <t>O'Sullivan 3-Shelf Heavy-Duty Bookcases</t>
  </si>
  <si>
    <t>Gene Hale</t>
  </si>
  <si>
    <t>Novimex Swivel Fabric Task Chair</t>
  </si>
  <si>
    <t>Maya Herman</t>
  </si>
  <si>
    <t>Michelle Ellison</t>
  </si>
  <si>
    <t>Dennis Pardue</t>
  </si>
  <si>
    <t>Staples Surge Protector 6 outlet</t>
  </si>
  <si>
    <t>Berol Giant Pencil Sharpener</t>
  </si>
  <si>
    <t>Bill Stewart</t>
  </si>
  <si>
    <t>Benjamin Farhat</t>
  </si>
  <si>
    <t>Belkin MediaBoard 104- Keyboard</t>
  </si>
  <si>
    <t>Xerox 1894</t>
  </si>
  <si>
    <t>Newell 337</t>
  </si>
  <si>
    <t>Patrick O'Brill</t>
  </si>
  <si>
    <t>Okidata ML520 Series Dot Matrix Printers</t>
  </si>
  <si>
    <t>Epson DFX5000+ Dot Matrix Printer</t>
  </si>
  <si>
    <t>Marc Crier</t>
  </si>
  <si>
    <t>GBC Recycled Regency Composition Covers</t>
  </si>
  <si>
    <t>Jason Klamczynski</t>
  </si>
  <si>
    <t>Tamara Manning</t>
  </si>
  <si>
    <t>GBC Wire Binding Strips</t>
  </si>
  <si>
    <t>Xerox 214</t>
  </si>
  <si>
    <t>Becky Martin</t>
  </si>
  <si>
    <t>Acco Keyboard-In-A-Box¨</t>
  </si>
  <si>
    <t>Eva Jacobs</t>
  </si>
  <si>
    <t>Belkin 5 Outlet SurgeMasterª Power Centers</t>
  </si>
  <si>
    <t>Fred McMath</t>
  </si>
  <si>
    <t>Canon P1-DHIII Palm Printing Calculator</t>
  </si>
  <si>
    <t>Cynthia Voltz</t>
  </si>
  <si>
    <t>Joseph Airdo</t>
  </si>
  <si>
    <t>Speros Goranitis</t>
  </si>
  <si>
    <t>Trav-L-File Heavy-Duty Shuttle II, Black</t>
  </si>
  <si>
    <t>Roland Murray</t>
  </si>
  <si>
    <t>Black Print Carbonless Snap-Off¨ Rapid Letter, 8 1/2" x 7"</t>
  </si>
  <si>
    <t>Suzanne McNair</t>
  </si>
  <si>
    <t>Honeywell Enviracaire¨ Portable HEPA Air Cleaner for up to 10 x 16 Room</t>
  </si>
  <si>
    <t>Barry Pond</t>
  </si>
  <si>
    <t>Canon F603 Scientific Calculator</t>
  </si>
  <si>
    <t>Tony Molinari</t>
  </si>
  <si>
    <t>Hammermill Color Copier Paper (28Lb. and 96 Bright)</t>
  </si>
  <si>
    <t>Wilson Jones Elliptical Ring 3 1/2" Capacity Binders, 800 sheets</t>
  </si>
  <si>
    <t>Hon Olson Stacker Stools</t>
  </si>
  <si>
    <t>Stewart Visinsky</t>
  </si>
  <si>
    <t>Christopher Schild</t>
  </si>
  <si>
    <t>Northwest Territories</t>
  </si>
  <si>
    <t>Newell 312</t>
  </si>
  <si>
    <t>Michael Nguyen</t>
  </si>
  <si>
    <t>Okidata ML184 Turbo Dot Matrix Printers</t>
  </si>
  <si>
    <t>Russell Applegate</t>
  </si>
  <si>
    <t>V 3600 Series</t>
  </si>
  <si>
    <t>Jeremy Pistek</t>
  </si>
  <si>
    <t>Tennsco Regal Shelving Units</t>
  </si>
  <si>
    <t>Bryan Davis</t>
  </si>
  <si>
    <t>Avanti 4.4 Cu. Ft. Refrigerator</t>
  </si>
  <si>
    <t>Craig Leslie</t>
  </si>
  <si>
    <t>Microsoft Natural Multimedia Keyboard</t>
  </si>
  <si>
    <t>Christopher Conant</t>
  </si>
  <si>
    <t>Bravo IIª Megaboss¨ 12-Amp Hard Body Upright, Replacement Belts, 2 Belts per Pack</t>
  </si>
  <si>
    <t>Alejandro Ballentine</t>
  </si>
  <si>
    <t>Howard Miller 13" Diameter Goldtone Round Wall Clock</t>
  </si>
  <si>
    <t>Global Stack Chair without Arms, Black</t>
  </si>
  <si>
    <t>Hunter Lopez</t>
  </si>
  <si>
    <t>Lexmark Z55se Color Inkjet Printer</t>
  </si>
  <si>
    <t>Array¨ Memo Cubes</t>
  </si>
  <si>
    <t>Andrew Roberts</t>
  </si>
  <si>
    <t>GBC VeloBinder Electric Binding Machine</t>
  </si>
  <si>
    <t>Fellowes Mobile Numeric Keypad, Graphite</t>
  </si>
  <si>
    <t>Polycom ViaVideoª Desktop Video Communications Unit</t>
  </si>
  <si>
    <t>Staples Wirebound Steno Books, 6" x 9", 12/Pack</t>
  </si>
  <si>
    <t>Eugene Hildebrand</t>
  </si>
  <si>
    <t>Bionaire Personal Warm Mist Humidifier/Vaporizer</t>
  </si>
  <si>
    <t>Gene McClure</t>
  </si>
  <si>
    <t>Larry Tron</t>
  </si>
  <si>
    <t>36X48 HARDFLOOR CHAIRMAT</t>
  </si>
  <si>
    <t>Acme¨ Preferred Stainless Steel Scissors</t>
  </si>
  <si>
    <t>Avery Trapezoid Extra Heavy Duty 4" Binders</t>
  </si>
  <si>
    <t>Mick Hernandez</t>
  </si>
  <si>
    <t>Delfina Latchford</t>
  </si>
  <si>
    <t>Sanjit Engle</t>
  </si>
  <si>
    <t>Avery Durable Poly Binders</t>
  </si>
  <si>
    <t>Trudy Brown</t>
  </si>
  <si>
    <t>Hon Pagodaª Stacking Chairs</t>
  </si>
  <si>
    <t>Melanie Page</t>
  </si>
  <si>
    <t>Acme Galleria¨ Hot Forged Steel Scissors with Colored Handles</t>
  </si>
  <si>
    <t>Evan Minnotte</t>
  </si>
  <si>
    <t>Boston KS Multi-Size Manual Pencil Sharpener</t>
  </si>
  <si>
    <t>Belkin 107-key enhanced keyboard, USB/PS/2 interface</t>
  </si>
  <si>
    <t>Guy Phonely</t>
  </si>
  <si>
    <t>Acco Smartsocket¨ Color-Coded Six-Outlet AC Adapter Model Surge Protectors</t>
  </si>
  <si>
    <t>Doug Bickford</t>
  </si>
  <si>
    <t>Bevis Boat-Shaped Conference Table</t>
  </si>
  <si>
    <t>Michael Grace</t>
  </si>
  <si>
    <t>Susan Pistek</t>
  </si>
  <si>
    <t>Darren Powers</t>
  </si>
  <si>
    <t>Pauline Johnson</t>
  </si>
  <si>
    <t>Joni Wasserman</t>
  </si>
  <si>
    <t>Dave Brooks</t>
  </si>
  <si>
    <t>Xerox 1954</t>
  </si>
  <si>
    <t>Jocasta Rupert</t>
  </si>
  <si>
    <t>Aaron Hawkins</t>
  </si>
  <si>
    <t>Deborah Brumfield</t>
  </si>
  <si>
    <t>V70</t>
  </si>
  <si>
    <t>Saphhira Shifley</t>
  </si>
  <si>
    <t>Avery Self-Adhesive Photo Pockets for Polaroid Photos</t>
  </si>
  <si>
    <t>Jamie Kunitz</t>
  </si>
  <si>
    <t>Anthony Johnson</t>
  </si>
  <si>
    <t>Xerox Blank Computer Paper</t>
  </si>
  <si>
    <t>Jenna Caffey</t>
  </si>
  <si>
    <t>Martin-Yale Premier Letter Opener</t>
  </si>
  <si>
    <t>Atlantic Metals Mobile 5-Shelf Bookcases, Custom Colors</t>
  </si>
  <si>
    <t>Hewlett-Packard 2600DN Business Color Inkjet Printer</t>
  </si>
  <si>
    <t>Ross DeVincentis</t>
  </si>
  <si>
    <t>StarTAC ST7868</t>
  </si>
  <si>
    <t>OIC Thumb-Tacks</t>
  </si>
  <si>
    <t>Scot Coram</t>
  </si>
  <si>
    <t>Recycled Interoffice Envelopes with String and Button Closure, 10 x 13</t>
  </si>
  <si>
    <t>Cynthia Delaney</t>
  </si>
  <si>
    <t>It's Hot Message Books with Stickers, 2 3/4" x 5"</t>
  </si>
  <si>
    <t>Magna Visual Magnetic Picture Hangers</t>
  </si>
  <si>
    <t>Staples Copy Paper (20Lb. and 84 Bright)</t>
  </si>
  <si>
    <t>Janet Molinari</t>
  </si>
  <si>
    <t>Kalyca Meade</t>
  </si>
  <si>
    <t>Berenike Kampe</t>
  </si>
  <si>
    <t>Natalie Fritzler</t>
  </si>
  <si>
    <t>Hilary Holden</t>
  </si>
  <si>
    <t>Sarah Bern</t>
  </si>
  <si>
    <t>Presstex Flexible Ring Binders</t>
  </si>
  <si>
    <t>Patrick Bzostek</t>
  </si>
  <si>
    <t>Tenex Personal Self-Stacking Standard File Box, Black/Gray</t>
  </si>
  <si>
    <t>Laurel Beltran</t>
  </si>
  <si>
    <t>Maxell DVD-RAM Discs</t>
  </si>
  <si>
    <t>Accessory34</t>
  </si>
  <si>
    <t>Chuck Sachs</t>
  </si>
  <si>
    <t>Erica Smith</t>
  </si>
  <si>
    <t>Newell 329</t>
  </si>
  <si>
    <t>SouthWestern Bell FA970 Digital Answering Machine with Time/Day Stamp</t>
  </si>
  <si>
    <t>Southworth Structures Collectionª</t>
  </si>
  <si>
    <t>GBC Twin Loopª Wire Binding Elements, 9/16" Spine, Black</t>
  </si>
  <si>
    <t>Ivan Liston</t>
  </si>
  <si>
    <t>Carina Mini System Audio Rack, Model AR050B</t>
  </si>
  <si>
    <t>Ann Steele</t>
  </si>
  <si>
    <t>Panasonic KX-P2130 Dot Matrix Printer</t>
  </si>
  <si>
    <t>Cindy Stewart</t>
  </si>
  <si>
    <t>Grace Kelly</t>
  </si>
  <si>
    <t>Flat Face Poster Frame</t>
  </si>
  <si>
    <t>Dan Lawera</t>
  </si>
  <si>
    <t>Belkin 7 Outlet SurgeMaster Surge Protector with Phone Protection</t>
  </si>
  <si>
    <t>Troy Staebel</t>
  </si>
  <si>
    <t>Seth Thomas 14" Putty-Colored Wall Clock</t>
  </si>
  <si>
    <t>Cathy Prescott</t>
  </si>
  <si>
    <t>George Ashbrook</t>
  </si>
  <si>
    <t>Greg Guthrie</t>
  </si>
  <si>
    <t>Acco Suede Grain Vinyl Round Ring Binder</t>
  </si>
  <si>
    <t>Philip Fox</t>
  </si>
  <si>
    <t>Daniel Byrd</t>
  </si>
  <si>
    <t>Arthur Wiediger</t>
  </si>
  <si>
    <t>Jennifer Ferguson</t>
  </si>
  <si>
    <t>Eldon Radial Chair Mat for Low to Medium Pile Carpets</t>
  </si>
  <si>
    <t>Tensor "Hersey Kiss" Styled Floor Lamp</t>
  </si>
  <si>
    <t>Fiskars¨ Softgrip Scissors</t>
  </si>
  <si>
    <t>Karen Daniels</t>
  </si>
  <si>
    <t>Jim Mitchum</t>
  </si>
  <si>
    <t>Memorex 80 Minute CD-R Spindle, 100/Pack</t>
  </si>
  <si>
    <t>Pamela Coakley</t>
  </si>
  <si>
    <t>John Huston</t>
  </si>
  <si>
    <t>Katherine Nockton</t>
  </si>
  <si>
    <t>Space Solutionsª Industrial Galvanized Steel Shelving.</t>
  </si>
  <si>
    <t>Accessory9</t>
  </si>
  <si>
    <t>Andy Yotov</t>
  </si>
  <si>
    <t>John Murray</t>
  </si>
  <si>
    <t>Global Enterpriseª Series Seating Low-Back Swivel/Tilt Chairs</t>
  </si>
  <si>
    <t>Frank Hawley</t>
  </si>
  <si>
    <t>Allen Armold</t>
  </si>
  <si>
    <t>Acme¨ Office Executive Series Stainless Steel Trimmers</t>
  </si>
  <si>
    <t>Hewlett-Packard Deskjet 6122 Color Inkjet Printer</t>
  </si>
  <si>
    <t>Dan Reichenbach</t>
  </si>
  <si>
    <t>Xerox 1985</t>
  </si>
  <si>
    <t>Jill Matthias</t>
  </si>
  <si>
    <t>MaryBeth Skach</t>
  </si>
  <si>
    <t>Eldon¨ 300 Classª Desk Accessories, Black</t>
  </si>
  <si>
    <t>Theresa Coyne</t>
  </si>
  <si>
    <t>Bobby Trafton</t>
  </si>
  <si>
    <t>Brian Dahlen</t>
  </si>
  <si>
    <t>Mike Kennedy</t>
  </si>
  <si>
    <t>Rick Duston</t>
  </si>
  <si>
    <t>Tim Taslimi</t>
  </si>
  <si>
    <t>Tracy Blumstein</t>
  </si>
  <si>
    <t>Fellowes Officewareª Wire Shelving</t>
  </si>
  <si>
    <t>Juliana Krohn</t>
  </si>
  <si>
    <t>Canon Image Class D660 Copier</t>
  </si>
  <si>
    <t>Jason Fortune</t>
  </si>
  <si>
    <t>Erica Hernandez</t>
  </si>
  <si>
    <t>Toby Knight</t>
  </si>
  <si>
    <t>Avery¨ Durable Plastic 1" Binders</t>
  </si>
  <si>
    <t>Xerox 1993</t>
  </si>
  <si>
    <t>Anemone Ratner</t>
  </si>
  <si>
    <t>Fellowes Smart Surge Ten-Outlet Protector, Platinum</t>
  </si>
  <si>
    <t>Duane Noonan</t>
  </si>
  <si>
    <t>David Flashing</t>
  </si>
  <si>
    <t>Elizabeth Moffitt</t>
  </si>
  <si>
    <t>Naresj Patel</t>
  </si>
  <si>
    <t>Staples Gold Paper Clips</t>
  </si>
  <si>
    <t>Patricia Hirasaki</t>
  </si>
  <si>
    <t>Paul Gonzalez</t>
  </si>
  <si>
    <t>Magdelene Morse</t>
  </si>
  <si>
    <t>Greg Maxwell</t>
  </si>
  <si>
    <t>Cari MacIntyre</t>
  </si>
  <si>
    <t>Beth Fritzler</t>
  </si>
  <si>
    <t>Jeremy Farry</t>
  </si>
  <si>
    <t>BASF Silver 74 Minute CD-R</t>
  </si>
  <si>
    <t>Janet Martin</t>
  </si>
  <si>
    <t>Clay Ludtke</t>
  </si>
  <si>
    <t>Self-Adhesive Ring Binder Labels</t>
  </si>
  <si>
    <t>Corey Roper</t>
  </si>
  <si>
    <t>Colored Envelopes</t>
  </si>
  <si>
    <t>Duane Benoit</t>
  </si>
  <si>
    <t>Office Star Flex Back Scooter Chair with White Frame</t>
  </si>
  <si>
    <t>Alyssa Crouse</t>
  </si>
  <si>
    <t>Nick Crebassa</t>
  </si>
  <si>
    <t>Brian Derr</t>
  </si>
  <si>
    <t>Laura Armstrong</t>
  </si>
  <si>
    <t>Nora Pelletier</t>
  </si>
  <si>
    <t>Jonathan Howell</t>
  </si>
  <si>
    <t>Roland Black</t>
  </si>
  <si>
    <t>Matthew Clasen</t>
  </si>
  <si>
    <t>Storex Dura Proª Binders</t>
  </si>
  <si>
    <t>Craig Rider</t>
  </si>
  <si>
    <t>Xerox 1951</t>
  </si>
  <si>
    <t>Linda Cazamias</t>
  </si>
  <si>
    <t>Jason Gross</t>
  </si>
  <si>
    <t>Howard Miller 12-3/4 Diameter Accuwave DS ª Wall Clock</t>
  </si>
  <si>
    <t>Jim Sink</t>
  </si>
  <si>
    <t>Telephone Message Books with Fax/Mobile Section, 4 1/4" x 6"</t>
  </si>
  <si>
    <t>Maribeth Yedwab</t>
  </si>
  <si>
    <t>Mitch Webber</t>
  </si>
  <si>
    <t>Carol Triggs</t>
  </si>
  <si>
    <t>Chad Cunningham</t>
  </si>
  <si>
    <t>Harry Greene</t>
  </si>
  <si>
    <t>Luke Weiss</t>
  </si>
  <si>
    <t>Dana Kaydos</t>
  </si>
  <si>
    <t>Cindy Schnelling</t>
  </si>
  <si>
    <t>Canon PC-428 Personal Copier</t>
  </si>
  <si>
    <t>Stewart Carmichael</t>
  </si>
  <si>
    <t>Rick Reed</t>
  </si>
  <si>
    <t>Frank Atkinson</t>
  </si>
  <si>
    <t>Tom Ashbrook</t>
  </si>
  <si>
    <t>Katrina Bavinger</t>
  </si>
  <si>
    <t>Adams Write n' Stick Phone Message Book, 11" X 5 1/4", 200 Messages</t>
  </si>
  <si>
    <t>Laurel Workman</t>
  </si>
  <si>
    <t>Bradley Talbott</t>
  </si>
  <si>
    <t>Victoria Brennan</t>
  </si>
  <si>
    <t>Anthony Jacobs</t>
  </si>
  <si>
    <t>Noah Childs</t>
  </si>
  <si>
    <t>Katrina Edelman</t>
  </si>
  <si>
    <t>Mike Pelletier</t>
  </si>
  <si>
    <t>Charles McCrossin</t>
  </si>
  <si>
    <t>Staples Paper Clips</t>
  </si>
  <si>
    <t>Eleni McCrary</t>
  </si>
  <si>
    <t>Philisse Overcash</t>
  </si>
  <si>
    <t>Pete Kriz</t>
  </si>
  <si>
    <t>Sarah Foster</t>
  </si>
  <si>
    <t>Nick Zandusky</t>
  </si>
  <si>
    <t>Richard Bierner</t>
  </si>
  <si>
    <t>Safco Value Mate Steel Bookcase, Baked Enamel Finish on Steel, Black</t>
  </si>
  <si>
    <t>Panasonic KX-P3626 Dot Matrix Printer</t>
  </si>
  <si>
    <t>Victoria Wilson</t>
  </si>
  <si>
    <t>Paul Stevenson</t>
  </si>
  <si>
    <t>Frank Olsen</t>
  </si>
  <si>
    <t>Adrian Shami</t>
  </si>
  <si>
    <t>Vivek Sundaresam</t>
  </si>
  <si>
    <t>Doug O'Connell</t>
  </si>
  <si>
    <t>Ryan Akin</t>
  </si>
  <si>
    <t>Neoma Murray</t>
  </si>
  <si>
    <t>Joel Jenkins</t>
  </si>
  <si>
    <t>Karen Bern</t>
  </si>
  <si>
    <t>Julie Kriz</t>
  </si>
  <si>
    <t>Avery Non-Stick Binders</t>
  </si>
  <si>
    <t>Kristen Hastings</t>
  </si>
  <si>
    <t>Fred Hopkins</t>
  </si>
  <si>
    <t>Ted Butterfield</t>
  </si>
  <si>
    <t>Todd Sumrall</t>
  </si>
  <si>
    <t>Mark Van Huff</t>
  </si>
  <si>
    <t>Maria Etezadi</t>
  </si>
  <si>
    <t>Shirley Daniels</t>
  </si>
  <si>
    <t>Order_ID</t>
  </si>
  <si>
    <t>Order_Date</t>
  </si>
  <si>
    <t>Ship_Mode</t>
  </si>
  <si>
    <t xml:space="preserve"> Category</t>
  </si>
  <si>
    <t xml:space="preserve"> Sub-Category</t>
  </si>
  <si>
    <t>Base_Margin</t>
  </si>
  <si>
    <t>Shipping_Cost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</si>
  <si>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</si>
  <si>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</si>
  <si>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</si>
  <si>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</si>
  <si>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</si>
  <si>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</si>
  <si>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</si>
  <si>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</si>
  <si>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</si>
  <si>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</si>
  <si>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</si>
  <si>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</si>
  <si>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</si>
  <si>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</si>
  <si>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</si>
  <si>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category</t>
  </si>
  <si>
    <t>Sum of Profit</t>
  </si>
  <si>
    <t>Top 10 product</t>
  </si>
  <si>
    <t>Total Sales</t>
  </si>
  <si>
    <t>Total Profit</t>
  </si>
  <si>
    <t>Total Orders</t>
  </si>
  <si>
    <t>Average Discount</t>
  </si>
  <si>
    <t>Total Shipping Cost</t>
  </si>
  <si>
    <r>
      <t>D</t>
    </r>
    <r>
      <rPr>
        <b/>
        <sz val="11"/>
        <color theme="1"/>
        <rFont val="Aptos Narrow"/>
        <family val="2"/>
        <scheme val="minor"/>
      </rPr>
      <t>ATA   ANALYSIS</t>
    </r>
  </si>
  <si>
    <t>DATA ANALYSIS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</si>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</sst>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2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8" formatCode="[$-F800]dddd\,\ mmmm\ dd\,\ yyyy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[Retail_Sales_Analysis.xlsx]BUSINESS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'BUSINESS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'BUSINESS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'BUSINESS ANALYSIS'!$B$4:$B$16</c:f>
              <c:numCache>
                <c:formatCode>0.00</c:formatCode>
                <c:ptCount val="12"/>
                <c:pt idx="0">
                  <c:v>71075.691500000015</c:v>
                </c:pt>
                <c:pt idx="1">
                  <c:v>73981.307499999995</c:v>
                </c:pt>
                <c:pt idx="2">
                  <c:v>70130.360499999995</c:v>
                </c:pt>
                <c:pt idx="3">
                  <c:v>74352.860500000024</c:v>
                </c:pt>
                <c:pt idx="4">
                  <c:v>92142.478499999968</c:v>
                </c:pt>
                <c:pt idx="5">
                  <c:v>71824.068499999994</c:v>
                </c:pt>
                <c:pt idx="6">
                  <c:v>38613.625</c:v>
                </c:pt>
                <c:pt idx="7">
                  <c:v>48308.352500000008</c:v>
                </c:pt>
                <c:pt idx="8">
                  <c:v>94258.643499999991</c:v>
                </c:pt>
                <c:pt idx="9">
                  <c:v>81836.221000000005</c:v>
                </c:pt>
                <c:pt idx="10">
                  <c:v>69823.897000000012</c:v>
                </c:pt>
                <c:pt idx="11">
                  <c:v>87402.76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A-414C-A844-A22E872B5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951535"/>
        <c:axId val="1659589519"/>
      </c:lineChart>
      <c:catAx>
        <c:axId val="165495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89519"/>
        <c:crosses val="autoZero"/>
        <c:auto val="1"/>
        <c:lblAlgn val="ctr"/>
        <c:lblOffset val="100"/>
        <c:noMultiLvlLbl val="0"/>
      </c:catAx>
      <c:valAx>
        <c:axId val="16595895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5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[Retail_Sales_Analysis.xlsx]BUSINESS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Region</a:t>
            </a:r>
            <a:endParaRPr lang="en-US" b="1"/>
          </a:p>
        </c:rich>
      </c:tx>
      <c:layout>
        <c:manualLayout>
          <c:xMode val="edge"/>
          <c:yMode val="edge"/>
          <c:x val="0.28055555555555556"/>
          <c:y val="0.132610738472505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ANALYSIS'!$F$3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'BUSINESS ANALYSIS'!$E$4:$E$12</c:f>
              <c:strCache>
                <c:ptCount val="8"/>
                <c:pt idx="0">
                  <c:v>Atlantic</c:v>
                </c:pt>
                <c:pt idx="1">
                  <c:v>Northwest Territories</c:v>
                </c:pt>
                <c:pt idx="2">
                  <c:v>Nunavut</c:v>
                </c:pt>
                <c:pt idx="3">
                  <c:v>Ontario</c:v>
                </c:pt>
                <c:pt idx="4">
                  <c:v>Prarie</c:v>
                </c:pt>
                <c:pt idx="5">
                  <c:v>Quebec</c:v>
                </c:pt>
                <c:pt idx="6">
                  <c:v>West</c:v>
                </c:pt>
                <c:pt idx="7">
                  <c:v>Yukon</c:v>
                </c:pt>
              </c:strCache>
            </c:strRef>
          </c:cat>
          <c:val>
            <c:numRef>
              <c:f>'BUSINESS ANALYSIS'!$F$4:$F$12</c:f>
              <c:numCache>
                <c:formatCode>0.00</c:formatCode>
                <c:ptCount val="8"/>
                <c:pt idx="0">
                  <c:v>105986.52650000004</c:v>
                </c:pt>
                <c:pt idx="1">
                  <c:v>26227.966</c:v>
                </c:pt>
                <c:pt idx="2">
                  <c:v>32339.713499999998</c:v>
                </c:pt>
                <c:pt idx="3">
                  <c:v>224869.9675</c:v>
                </c:pt>
                <c:pt idx="4">
                  <c:v>142775.35849999994</c:v>
                </c:pt>
                <c:pt idx="5">
                  <c:v>41487.048999999992</c:v>
                </c:pt>
                <c:pt idx="6">
                  <c:v>220955.01249999998</c:v>
                </c:pt>
                <c:pt idx="7">
                  <c:v>79108.672500000001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1-41A3-B399-C3E931952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010463"/>
        <c:axId val="1659625999"/>
      </c:barChart>
      <c:catAx>
        <c:axId val="165501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25999"/>
        <c:crosses val="autoZero"/>
        <c:auto val="1"/>
        <c:lblAlgn val="ctr"/>
        <c:lblOffset val="100"/>
        <c:noMultiLvlLbl val="0"/>
      </c:catAx>
      <c:valAx>
        <c:axId val="165962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1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[Retail_Sales_Analysis.xlsx]BUSINESS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</a:t>
            </a:r>
            <a:r>
              <a:rPr lang="en-IN" sz="1400" b="0" i="0" u="none" strike="noStrike" baseline="0"/>
              <a:t> </a:t>
            </a:r>
            <a:r>
              <a:rPr lang="en-IN" sz="1400" b="1" i="0" u="none" strike="noStrike" baseline="0"/>
              <a:t>by 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'BUSINESS ANALYSIS'!$J$3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'BUSINESS ANALYSIS'!$I$4:$I$7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'BUSINESS ANALYSIS'!$J$4:$J$7</c:f>
              <c:numCache>
                <c:formatCode>0.00</c:formatCode>
                <c:ptCount val="3"/>
                <c:pt idx="0">
                  <c:v>331339.74800000008</c:v>
                </c:pt>
                <c:pt idx="1">
                  <c:v>245753.89999999988</c:v>
                </c:pt>
                <c:pt idx="2">
                  <c:v>296656.61800000002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9-4E11-9B97-C65835CCC66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[Retail_Sales_Analysis.xlsx]BUSINESS ANALYSIS!PivotTable6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Products by Sales</a:t>
            </a:r>
            <a:r>
              <a:rPr lang="en-IN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ANALYSIS'!$R$3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'BUSINESS ANALYSIS'!$Q$4:$Q$14</c:f>
              <c:strCache>
                <c:ptCount val="10"/>
                <c:pt idx="0">
                  <c:v>Bretford CR8500 Series Meeting Room Furniture</c:v>
                </c:pt>
                <c:pt idx="1">
                  <c:v>Canon PC1060 Personal Laser Copier</c:v>
                </c:pt>
                <c:pt idx="2">
                  <c:v>Deluxe Rollaway Locking File with Drawer</c:v>
                </c:pt>
                <c:pt idx="3">
                  <c:v>Epson LQ-870 Dot Matrix Printer</c:v>
                </c:pt>
                <c:pt idx="4">
                  <c:v>Global Troyª Executive Leather Low-Back Tilter</c:v>
                </c:pt>
                <c:pt idx="5">
                  <c:v>Hewlett-Packard cp1700 [D, PS] Series Color Inkjet Printers</c:v>
                </c:pt>
                <c:pt idx="6">
                  <c:v>Ibico Hi-Tech Manual Binding System</c:v>
                </c:pt>
                <c:pt idx="7">
                  <c:v>Okidata ML184 Turbo Dot Matrix Printers</c:v>
                </c:pt>
                <c:pt idx="8">
                  <c:v>Okidata Pacemark 4410N Wide Format Dot Matrix Printer</c:v>
                </c:pt>
                <c:pt idx="9">
                  <c:v>Polycom ViaVideoª Desktop Video Communications Unit</c:v>
                </c:pt>
              </c:strCache>
            </c:strRef>
          </c:cat>
          <c:val>
            <c:numRef>
              <c:f>'BUSINESS ANALYSIS'!$R$4:$R$14</c:f>
              <c:numCache>
                <c:formatCode>0.00</c:formatCode>
                <c:ptCount val="10"/>
                <c:pt idx="0">
                  <c:v>14960.096</c:v>
                </c:pt>
                <c:pt idx="1">
                  <c:v>21717.360000000001</c:v>
                </c:pt>
                <c:pt idx="2">
                  <c:v>17129.97</c:v>
                </c:pt>
                <c:pt idx="3">
                  <c:v>15464.01</c:v>
                </c:pt>
                <c:pt idx="4">
                  <c:v>19342.84</c:v>
                </c:pt>
                <c:pt idx="5">
                  <c:v>15260.78</c:v>
                </c:pt>
                <c:pt idx="6">
                  <c:v>15383.7</c:v>
                </c:pt>
                <c:pt idx="7">
                  <c:v>14556.67</c:v>
                </c:pt>
                <c:pt idx="8">
                  <c:v>21134.71</c:v>
                </c:pt>
                <c:pt idx="9">
                  <c:v>16066.85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1-43C1-B90D-AA4A15721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034591"/>
        <c:axId val="1659635599"/>
      </c:barChart>
      <c:catAx>
        <c:axId val="165503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35599"/>
        <c:crosses val="autoZero"/>
        <c:auto val="1"/>
        <c:lblAlgn val="ctr"/>
        <c:lblOffset val="100"/>
        <c:noMultiLvlLbl val="0"/>
      </c:catAx>
      <c:valAx>
        <c:axId val="165963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3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[Retail_Sales_Analysis.xlsx]BUSINESS ANALYSIS!PivotTable7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Order Priority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'BUSINESS ANALYSIS'!$V$3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'BUSINESS ANALYSIS'!$U$4:$U$9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Not Specified</c:v>
                </c:pt>
              </c:strCache>
            </c:strRef>
          </c:cat>
          <c:val>
            <c:numRef>
              <c:f>'BUSINESS ANALYSIS'!$V$4:$V$9</c:f>
              <c:numCache>
                <c:formatCode>0.00</c:formatCode>
                <c:ptCount val="5"/>
                <c:pt idx="0">
                  <c:v>145640.42250000007</c:v>
                </c:pt>
                <c:pt idx="1">
                  <c:v>211249.26099999991</c:v>
                </c:pt>
                <c:pt idx="2">
                  <c:v>166477.886</c:v>
                </c:pt>
                <c:pt idx="3">
                  <c:v>172447.28649999993</c:v>
                </c:pt>
                <c:pt idx="4">
                  <c:v>177935.40999999995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5-4047-B7D9-DFD359860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7261087"/>
        <c:axId val="1659698959"/>
        <c:axId val="0"/>
      </c:bar3DChart>
      <c:catAx>
        <c:axId val="287261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98959"/>
        <c:crosses val="autoZero"/>
        <c:auto val="1"/>
        <c:lblAlgn val="ctr"/>
        <c:lblOffset val="100"/>
        <c:noMultiLvlLbl val="0"/>
      </c:catAx>
      <c:valAx>
        <c:axId val="165969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6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[Retail_Sales_Analysis.xlsx]BUSINESS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by Customer Segment</a:t>
            </a:r>
            <a:r>
              <a:rPr lang="en-IN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'BUSINESS ANALYSIS'!$N$3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'BUSINESS ANALYSIS'!$M$4:$M$8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'BUSINESS ANALYSIS'!$N$4:$N$8</c:f>
              <c:numCache>
                <c:formatCode>0.00</c:formatCode>
                <c:ptCount val="4"/>
                <c:pt idx="0">
                  <c:v>29720.600000000002</c:v>
                </c:pt>
                <c:pt idx="1">
                  <c:v>11577.939999999995</c:v>
                </c:pt>
                <c:pt idx="2">
                  <c:v>28635.740000000013</c:v>
                </c:pt>
                <c:pt idx="3">
                  <c:v>16116.039999999992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5-42FB-9193-4C82B136E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1427343"/>
        <c:axId val="1659705679"/>
        <c:axId val="0"/>
      </c:bar3DChart>
      <c:catAx>
        <c:axId val="55142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705679"/>
        <c:crosses val="autoZero"/>
        <c:auto val="1"/>
        <c:lblAlgn val="ctr"/>
        <c:lblOffset val="100"/>
        <c:noMultiLvlLbl val="0"/>
      </c:catAx>
      <c:valAx>
        <c:axId val="16597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2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18</xdr:row>
      <xdr:rowOff>7620</xdr:rowOff>
    </xdr:from>
    <xdr:to>
      <xdr:col>3</xdr:col>
      <xdr:colOff>548640</xdr:colOff>
      <xdr:row>29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ED9544-F8F3-AC95-A4C9-1B1344064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12</xdr:row>
      <xdr:rowOff>167640</xdr:rowOff>
    </xdr:from>
    <xdr:to>
      <xdr:col>7</xdr:col>
      <xdr:colOff>327660</xdr:colOff>
      <xdr:row>26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1C86CA-E5C0-675B-FDB1-9D2319C80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236220</xdr:colOff>
      <xdr:row>8</xdr:row>
      <xdr:rowOff>99060</xdr:rowOff>
    </xdr:from>
    <xdr:to>
      <xdr:col>11</xdr:col>
      <xdr:colOff>190500</xdr:colOff>
      <xdr:row>19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D62B5E-C023-74E7-32CA-85AD23C36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693420</xdr:colOff>
      <xdr:row>16</xdr:row>
      <xdr:rowOff>26670</xdr:rowOff>
    </xdr:from>
    <xdr:to>
      <xdr:col>17</xdr:col>
      <xdr:colOff>350520</xdr:colOff>
      <xdr:row>31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1DC828-89B9-C29F-901F-763842BF1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350520</xdr:colOff>
      <xdr:row>10</xdr:row>
      <xdr:rowOff>160020</xdr:rowOff>
    </xdr:from>
    <xdr:to>
      <xdr:col>22</xdr:col>
      <xdr:colOff>1668780</xdr:colOff>
      <xdr:row>23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7D1D16-2884-B183-FC8D-96C8A1C2B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487680</xdr:colOff>
      <xdr:row>11</xdr:row>
      <xdr:rowOff>99060</xdr:rowOff>
    </xdr:from>
    <xdr:to>
      <xdr:col>15</xdr:col>
      <xdr:colOff>449580</xdr:colOff>
      <xdr:row>23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54F2B7-BFB5-1AF4-0A48-AD22D4E7F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shish" refreshedDate="46308.77654953704" createdVersion="8" refreshedVersion="8" minRefreshableVersion="3" recordCount="553" xr:uid="{0580D040-B984-4B40-871B-E98838C52328}">
  <cacheSource type="worksheet">
    <worksheetSource name="Sheet1"/>
  </cacheSource>
  <cacheFields count="24">
    <cacheField name="Row ID" numFmtId="0">
      <sharedItems containsSemiMixedTypes="0" containsString="0" containsNumber="1" containsInteger="1" minValue="1" maxValue="7870"/>
    </cacheField>
    <cacheField name="Order_ID" numFmtId="0">
      <sharedItems containsSemiMixedTypes="0" containsString="0" containsNumber="1" containsInteger="1" minValue="3" maxValue="56291"/>
    </cacheField>
    <cacheField name="Order_Date" numFmtId="168">
      <sharedItems containsSemiMixedTypes="0" containsNonDate="0" containsDate="1" containsString="0" minDate="2009-01-03T00:00:00" maxDate="2012-12-28T00:00:00" count="449">
        <d v="2010-10-13T00:00:00"/>
        <d v="2012-02-20T00:00:00"/>
        <d v="2011-07-15T00:00:00"/>
        <d v="2011-10-22T00:00:00"/>
        <d v="2011-11-02T00:00:00"/>
        <d v="2011-03-17T00:00:00"/>
        <d v="2009-01-19T00:00:00"/>
        <d v="2009-06-03T00:00:00"/>
        <d v="2010-12-17T00:00:00"/>
        <d v="2009-04-16T00:00:00"/>
        <d v="2010-01-28T00:00:00"/>
        <d v="2012-11-18T00:00:00"/>
        <d v="2012-05-07T00:00:00"/>
        <d v="2010-06-10T00:00:00"/>
        <d v="2012-04-30T00:00:00"/>
        <d v="2011-10-20T00:00:00"/>
        <d v="2011-09-11T00:00:00"/>
        <d v="2010-08-07T00:00:00"/>
        <d v="2012-04-04T00:00:00"/>
        <d v="2010-12-27T00:00:00"/>
        <d v="2011-04-06T00:00:00"/>
        <d v="2009-06-17T00:00:00"/>
        <d v="2011-05-24T00:00:00"/>
        <d v="2010-12-28T00:00:00"/>
        <d v="2010-10-26T00:00:00"/>
        <d v="2009-09-28T00:00:00"/>
        <d v="2010-06-28T00:00:00"/>
        <d v="2009-05-16T00:00:00"/>
        <d v="2009-01-05T00:00:00"/>
        <d v="2012-10-01T00:00:00"/>
        <d v="2010-07-15T00:00:00"/>
        <d v="2012-03-18T00:00:00"/>
        <d v="2009-03-25T00:00:00"/>
        <d v="2012-03-19T00:00:00"/>
        <d v="2011-06-03T00:00:00"/>
        <d v="2010-12-30T00:00:00"/>
        <d v="2009-06-13T00:00:00"/>
        <d v="2010-09-19T00:00:00"/>
        <d v="2009-12-18T00:00:00"/>
        <d v="2012-03-02T00:00:00"/>
        <d v="2011-01-24T00:00:00"/>
        <d v="2012-12-15T00:00:00"/>
        <d v="2010-09-26T00:00:00"/>
        <d v="2009-02-05T00:00:00"/>
        <d v="2011-10-30T00:00:00"/>
        <d v="2011-03-04T00:00:00"/>
        <d v="2011-12-26T00:00:00"/>
        <d v="2012-10-07T00:00:00"/>
        <d v="2011-07-10T00:00:00"/>
        <d v="2012-08-17T00:00:00"/>
        <d v="2011-05-19T00:00:00"/>
        <d v="2011-04-30T00:00:00"/>
        <d v="2010-08-28T00:00:00"/>
        <d v="2009-09-20T00:00:00"/>
        <d v="2012-07-12T00:00:00"/>
        <d v="2011-08-01T00:00:00"/>
        <d v="2012-10-20T00:00:00"/>
        <d v="2011-06-17T00:00:00"/>
        <d v="2012-11-30T00:00:00"/>
        <d v="2010-01-22T00:00:00"/>
        <d v="2011-03-24T00:00:00"/>
        <d v="2009-12-02T00:00:00"/>
        <d v="2009-11-21T00:00:00"/>
        <d v="2010-02-26T00:00:00"/>
        <d v="2011-09-08T00:00:00"/>
        <d v="2010-01-01T00:00:00"/>
        <d v="2010-03-01T00:00:00"/>
        <d v="2010-06-01T00:00:00"/>
        <d v="2011-06-16T00:00:00"/>
        <d v="2010-04-16T00:00:00"/>
        <d v="2010-09-25T00:00:00"/>
        <d v="2011-12-03T00:00:00"/>
        <d v="2012-02-17T00:00:00"/>
        <d v="2011-01-04T00:00:00"/>
        <d v="2011-07-04T00:00:00"/>
        <d v="2010-11-23T00:00:00"/>
        <d v="2012-04-18T00:00:00"/>
        <d v="2009-02-12T00:00:00"/>
        <d v="2009-06-14T00:00:00"/>
        <d v="2011-11-14T00:00:00"/>
        <d v="2010-03-08T00:00:00"/>
        <d v="2010-06-02T00:00:00"/>
        <d v="2009-09-30T00:00:00"/>
        <d v="2009-07-26T00:00:00"/>
        <d v="2011-03-01T00:00:00"/>
        <d v="2009-12-16T00:00:00"/>
        <d v="2012-08-04T00:00:00"/>
        <d v="2009-05-05T00:00:00"/>
        <d v="2011-05-14T00:00:00"/>
        <d v="2012-06-20T00:00:00"/>
        <d v="2009-04-19T00:00:00"/>
        <d v="2009-11-25T00:00:00"/>
        <d v="2010-09-04T00:00:00"/>
        <d v="2012-06-02T00:00:00"/>
        <d v="2012-02-19T00:00:00"/>
        <d v="2010-04-25T00:00:00"/>
        <d v="2010-02-20T00:00:00"/>
        <d v="2012-05-20T00:00:00"/>
        <d v="2012-02-14T00:00:00"/>
        <d v="2012-08-23T00:00:00"/>
        <d v="2009-04-08T00:00:00"/>
        <d v="2011-11-06T00:00:00"/>
        <d v="2012-04-25T00:00:00"/>
        <d v="2009-06-19T00:00:00"/>
        <d v="2010-02-04T00:00:00"/>
        <d v="2010-01-25T00:00:00"/>
        <d v="2012-02-27T00:00:00"/>
        <d v="2012-05-31T00:00:00"/>
        <d v="2010-05-13T00:00:00"/>
        <d v="2009-07-04T00:00:00"/>
        <d v="2009-05-12T00:00:00"/>
        <d v="2012-04-15T00:00:00"/>
        <d v="2012-10-27T00:00:00"/>
        <d v="2010-08-16T00:00:00"/>
        <d v="2010-04-26T00:00:00"/>
        <d v="2009-12-20T00:00:00"/>
        <d v="2011-08-15T00:00:00"/>
        <d v="2011-08-09T00:00:00"/>
        <d v="2009-12-05T00:00:00"/>
        <d v="2011-01-09T00:00:00"/>
        <d v="2012-10-14T00:00:00"/>
        <d v="2012-08-27T00:00:00"/>
        <d v="2011-03-09T00:00:00"/>
        <d v="2010-09-14T00:00:00"/>
        <d v="2012-12-27T00:00:00"/>
        <d v="2011-09-12T00:00:00"/>
        <d v="2010-03-02T00:00:00"/>
        <d v="2011-02-07T00:00:00"/>
        <d v="2011-08-19T00:00:00"/>
        <d v="2009-05-07T00:00:00"/>
        <d v="2011-10-17T00:00:00"/>
        <d v="2010-12-29T00:00:00"/>
        <d v="2012-05-18T00:00:00"/>
        <d v="2011-05-06T00:00:00"/>
        <d v="2011-03-13T00:00:00"/>
        <d v="2012-07-11T00:00:00"/>
        <d v="2012-11-20T00:00:00"/>
        <d v="2009-03-06T00:00:00"/>
        <d v="2009-05-04T00:00:00"/>
        <d v="2010-01-12T00:00:00"/>
        <d v="2010-09-22T00:00:00"/>
        <d v="2010-10-30T00:00:00"/>
        <d v="2009-01-17T00:00:00"/>
        <d v="2012-03-04T00:00:00"/>
        <d v="2009-03-15T00:00:00"/>
        <d v="2010-11-29T00:00:00"/>
        <d v="2009-09-01T00:00:00"/>
        <d v="2011-10-05T00:00:00"/>
        <d v="2012-09-06T00:00:00"/>
        <d v="2010-06-20T00:00:00"/>
        <d v="2012-03-14T00:00:00"/>
        <d v="2009-06-01T00:00:00"/>
        <d v="2012-04-12T00:00:00"/>
        <d v="2011-02-06T00:00:00"/>
        <d v="2010-09-03T00:00:00"/>
        <d v="2010-03-16T00:00:00"/>
        <d v="2010-03-12T00:00:00"/>
        <d v="2009-06-02T00:00:00"/>
        <d v="2012-03-05T00:00:00"/>
        <d v="2010-01-08T00:00:00"/>
        <d v="2012-08-01T00:00:00"/>
        <d v="2010-04-12T00:00:00"/>
        <d v="2012-10-21T00:00:00"/>
        <d v="2010-02-22T00:00:00"/>
        <d v="2011-07-25T00:00:00"/>
        <d v="2011-05-01T00:00:00"/>
        <d v="2010-12-14T00:00:00"/>
        <d v="2010-05-29T00:00:00"/>
        <d v="2010-08-19T00:00:00"/>
        <d v="2010-10-28T00:00:00"/>
        <d v="2011-09-10T00:00:00"/>
        <d v="2010-07-14T00:00:00"/>
        <d v="2012-08-26T00:00:00"/>
        <d v="2012-08-14T00:00:00"/>
        <d v="2011-10-10T00:00:00"/>
        <d v="2010-05-24T00:00:00"/>
        <d v="2012-07-31T00:00:00"/>
        <d v="2010-11-18T00:00:00"/>
        <d v="2011-12-13T00:00:00"/>
        <d v="2011-09-07T00:00:00"/>
        <d v="2010-10-21T00:00:00"/>
        <d v="2012-10-23T00:00:00"/>
        <d v="2010-09-23T00:00:00"/>
        <d v="2010-05-03T00:00:00"/>
        <d v="2011-10-16T00:00:00"/>
        <d v="2011-09-22T00:00:00"/>
        <d v="2010-06-07T00:00:00"/>
        <d v="2009-04-02T00:00:00"/>
        <d v="2012-02-06T00:00:00"/>
        <d v="2009-04-17T00:00:00"/>
        <d v="2009-10-09T00:00:00"/>
        <d v="2009-09-19T00:00:00"/>
        <d v="2009-04-18T00:00:00"/>
        <d v="2011-08-21T00:00:00"/>
        <d v="2012-09-18T00:00:00"/>
        <d v="2009-03-30T00:00:00"/>
        <d v="2011-05-02T00:00:00"/>
        <d v="2011-11-07T00:00:00"/>
        <d v="2010-04-11T00:00:00"/>
        <d v="2009-11-20T00:00:00"/>
        <d v="2009-01-07T00:00:00"/>
        <d v="2010-09-15T00:00:00"/>
        <d v="2009-08-09T00:00:00"/>
        <d v="2009-02-08T00:00:00"/>
        <d v="2011-11-09T00:00:00"/>
        <d v="2009-07-14T00:00:00"/>
        <d v="2012-12-23T00:00:00"/>
        <d v="2012-04-10T00:00:00"/>
        <d v="2012-10-08T00:00:00"/>
        <d v="2012-11-02T00:00:00"/>
        <d v="2010-05-20T00:00:00"/>
        <d v="2009-11-04T00:00:00"/>
        <d v="2012-09-15T00:00:00"/>
        <d v="2012-08-22T00:00:00"/>
        <d v="2009-10-29T00:00:00"/>
        <d v="2009-06-22T00:00:00"/>
        <d v="2009-12-21T00:00:00"/>
        <d v="2009-07-27T00:00:00"/>
        <d v="2011-10-02T00:00:00"/>
        <d v="2010-01-30T00:00:00"/>
        <d v="2011-01-07T00:00:00"/>
        <d v="2009-11-23T00:00:00"/>
        <d v="2012-10-25T00:00:00"/>
        <d v="2012-05-02T00:00:00"/>
        <d v="2011-03-15T00:00:00"/>
        <d v="2009-11-22T00:00:00"/>
        <d v="2010-12-04T00:00:00"/>
        <d v="2009-05-25T00:00:00"/>
        <d v="2010-12-07T00:00:00"/>
        <d v="2011-11-26T00:00:00"/>
        <d v="2009-03-26T00:00:00"/>
        <d v="2012-12-09T00:00:00"/>
        <d v="2010-02-02T00:00:00"/>
        <d v="2010-09-28T00:00:00"/>
        <d v="2009-09-10T00:00:00"/>
        <d v="2011-02-23T00:00:00"/>
        <d v="2010-05-25T00:00:00"/>
        <d v="2011-02-21T00:00:00"/>
        <d v="2010-06-27T00:00:00"/>
        <d v="2010-06-17T00:00:00"/>
        <d v="2010-11-13T00:00:00"/>
        <d v="2010-03-23T00:00:00"/>
        <d v="2011-10-06T00:00:00"/>
        <d v="2011-05-28T00:00:00"/>
        <d v="2012-02-12T00:00:00"/>
        <d v="2012-03-03T00:00:00"/>
        <d v="2011-07-16T00:00:00"/>
        <d v="2012-06-29T00:00:00"/>
        <d v="2011-05-21T00:00:00"/>
        <d v="2010-10-10T00:00:00"/>
        <d v="2009-03-28T00:00:00"/>
        <d v="2011-11-30T00:00:00"/>
        <d v="2012-09-03T00:00:00"/>
        <d v="2012-03-21T00:00:00"/>
        <d v="2010-04-19T00:00:00"/>
        <d v="2012-01-05T00:00:00"/>
        <d v="2011-06-11T00:00:00"/>
        <d v="2012-08-21T00:00:00"/>
        <d v="2009-11-16T00:00:00"/>
        <d v="2012-09-13T00:00:00"/>
        <d v="2010-11-09T00:00:00"/>
        <d v="2010-08-13T00:00:00"/>
        <d v="2011-10-29T00:00:00"/>
        <d v="2010-03-28T00:00:00"/>
        <d v="2012-04-21T00:00:00"/>
        <d v="2009-06-11T00:00:00"/>
        <d v="2011-10-12T00:00:00"/>
        <d v="2009-05-26T00:00:00"/>
        <d v="2012-07-25T00:00:00"/>
        <d v="2011-11-01T00:00:00"/>
        <d v="2010-12-25T00:00:00"/>
        <d v="2010-10-09T00:00:00"/>
        <d v="2012-01-08T00:00:00"/>
        <d v="2010-01-05T00:00:00"/>
        <d v="2010-11-07T00:00:00"/>
        <d v="2009-07-16T00:00:00"/>
        <d v="2011-07-23T00:00:00"/>
        <d v="2011-02-15T00:00:00"/>
        <d v="2011-05-03T00:00:00"/>
        <d v="2009-05-20T00:00:00"/>
        <d v="2012-07-29T00:00:00"/>
        <d v="2009-05-24T00:00:00"/>
        <d v="2010-03-24T00:00:00"/>
        <d v="2010-11-21T00:00:00"/>
        <d v="2012-11-03T00:00:00"/>
        <d v="2009-08-12T00:00:00"/>
        <d v="2009-11-19T00:00:00"/>
        <d v="2009-04-06T00:00:00"/>
        <d v="2011-11-12T00:00:00"/>
        <d v="2011-10-14T00:00:00"/>
        <d v="2010-04-07T00:00:00"/>
        <d v="2012-01-20T00:00:00"/>
        <d v="2012-08-18T00:00:00"/>
        <d v="2009-09-21T00:00:00"/>
        <d v="2009-12-29T00:00:00"/>
        <d v="2011-08-11T00:00:00"/>
        <d v="2009-05-03T00:00:00"/>
        <d v="2011-08-28T00:00:00"/>
        <d v="2011-08-07T00:00:00"/>
        <d v="2011-04-23T00:00:00"/>
        <d v="2010-05-16T00:00:00"/>
        <d v="2009-05-28T00:00:00"/>
        <d v="2011-08-12T00:00:00"/>
        <d v="2009-03-17T00:00:00"/>
        <d v="2012-11-26T00:00:00"/>
        <d v="2010-07-17T00:00:00"/>
        <d v="2012-06-27T00:00:00"/>
        <d v="2012-02-01T00:00:00"/>
        <d v="2011-02-01T00:00:00"/>
        <d v="2009-01-06T00:00:00"/>
        <d v="2011-07-01T00:00:00"/>
        <d v="2011-07-19T00:00:00"/>
        <d v="2010-12-09T00:00:00"/>
        <d v="2012-03-26T00:00:00"/>
        <d v="2012-05-10T00:00:00"/>
        <d v="2012-01-04T00:00:00"/>
        <d v="2011-02-13T00:00:00"/>
        <d v="2009-09-14T00:00:00"/>
        <d v="2009-05-08T00:00:00"/>
        <d v="2010-09-30T00:00:00"/>
        <d v="2009-01-12T00:00:00"/>
        <d v="2011-02-27T00:00:00"/>
        <d v="2010-02-10T00:00:00"/>
        <d v="2010-12-05T00:00:00"/>
        <d v="2009-03-14T00:00:00"/>
        <d v="2012-01-12T00:00:00"/>
        <d v="2010-05-27T00:00:00"/>
        <d v="2010-04-20T00:00:00"/>
        <d v="2012-02-11T00:00:00"/>
        <d v="2012-04-24T00:00:00"/>
        <d v="2012-01-19T00:00:00"/>
        <d v="2009-11-02T00:00:00"/>
        <d v="2009-05-14T00:00:00"/>
        <d v="2009-12-07T00:00:00"/>
        <d v="2011-05-09T00:00:00"/>
        <d v="2012-08-10T00:00:00"/>
        <d v="2010-03-20T00:00:00"/>
        <d v="2009-04-14T00:00:00"/>
        <d v="2012-04-13T00:00:00"/>
        <d v="2009-01-09T00:00:00"/>
        <d v="2011-03-22T00:00:00"/>
        <d v="2012-05-06T00:00:00"/>
        <d v="2011-01-31T00:00:00"/>
        <d v="2011-08-20T00:00:00"/>
        <d v="2009-05-19T00:00:00"/>
        <d v="2009-04-07T00:00:00"/>
        <d v="2010-12-21T00:00:00"/>
        <d v="2009-07-24T00:00:00"/>
        <d v="2011-01-03T00:00:00"/>
        <d v="2010-05-19T00:00:00"/>
        <d v="2012-11-10T00:00:00"/>
        <d v="2012-01-16T00:00:00"/>
        <d v="2009-04-23T00:00:00"/>
        <d v="2009-01-03T00:00:00"/>
        <d v="2009-10-11T00:00:00"/>
        <d v="2009-03-04T00:00:00"/>
        <d v="2009-09-16T00:00:00"/>
        <d v="2010-08-10T00:00:00"/>
        <d v="2012-05-04T00:00:00"/>
        <d v="2010-11-16T00:00:00"/>
        <d v="2009-09-13T00:00:00"/>
        <d v="2012-03-29T00:00:00"/>
        <d v="2009-08-27T00:00:00"/>
        <d v="2009-01-23T00:00:00"/>
        <d v="2011-05-12T00:00:00"/>
        <d v="2010-03-17T00:00:00"/>
        <d v="2010-08-23T00:00:00"/>
        <d v="2010-03-27T00:00:00"/>
        <d v="2011-10-23T00:00:00"/>
        <d v="2011-06-09T00:00:00"/>
        <d v="2012-03-30T00:00:00"/>
        <d v="2011-08-30T00:00:00"/>
        <d v="2011-10-18T00:00:00"/>
        <d v="2009-03-01T00:00:00"/>
        <d v="2012-09-10T00:00:00"/>
        <d v="2009-09-05T00:00:00"/>
        <d v="2011-06-22T00:00:00"/>
        <d v="2011-02-22T00:00:00"/>
        <d v="2009-09-11T00:00:00"/>
        <d v="2011-12-09T00:00:00"/>
        <d v="2011-07-06T00:00:00"/>
        <d v="2011-02-02T00:00:00"/>
        <d v="2010-10-24T00:00:00"/>
        <d v="2012-06-11T00:00:00"/>
        <d v="2011-01-11T00:00:00"/>
        <d v="2012-05-25T00:00:00"/>
        <d v="2010-10-29T00:00:00"/>
        <d v="2009-11-15T00:00:00"/>
        <d v="2010-01-29T00:00:00"/>
        <d v="2009-03-08T00:00:00"/>
        <d v="2009-10-17T00:00:00"/>
        <d v="2010-08-11T00:00:00"/>
        <d v="2011-09-04T00:00:00"/>
        <d v="2012-04-27T00:00:00"/>
        <d v="2009-08-26T00:00:00"/>
        <d v="2010-01-23T00:00:00"/>
        <d v="2010-03-07T00:00:00"/>
        <d v="2010-02-11T00:00:00"/>
        <d v="2010-01-31T00:00:00"/>
        <d v="2012-05-11T00:00:00"/>
        <d v="2011-12-21T00:00:00"/>
        <d v="2012-10-04T00:00:00"/>
        <d v="2009-10-02T00:00:00"/>
        <d v="2009-08-14T00:00:00"/>
        <d v="2012-07-21T00:00:00"/>
        <d v="2011-03-07T00:00:00"/>
        <d v="2009-10-20T00:00:00"/>
        <d v="2012-05-05T00:00:00"/>
        <d v="2011-11-13T00:00:00"/>
        <d v="2011-10-09T00:00:00"/>
        <d v="2012-07-23T00:00:00"/>
        <d v="2009-04-29T00:00:00"/>
        <d v="2011-04-12T00:00:00"/>
        <d v="2012-09-30T00:00:00"/>
        <d v="2012-03-28T00:00:00"/>
        <d v="2010-04-15T00:00:00"/>
        <d v="2009-09-25T00:00:00"/>
        <d v="2012-05-22T00:00:00"/>
        <d v="2011-03-16T00:00:00"/>
        <d v="2009-09-18T00:00:00"/>
        <d v="2010-12-12T00:00:00"/>
        <d v="2011-08-08T00:00:00"/>
        <d v="2011-02-28T00:00:00"/>
        <d v="2011-08-02T00:00:00"/>
        <d v="2009-01-30T00:00:00"/>
        <d v="2011-12-18T00:00:00"/>
        <d v="2010-05-30T00:00:00"/>
        <d v="2011-01-05T00:00:00"/>
        <d v="2011-06-06T00:00:00"/>
        <d v="2010-07-29T00:00:00"/>
        <d v="2010-08-20T00:00:00"/>
        <d v="2011-11-19T00:00:00"/>
        <d v="2010-08-03T00:00:00"/>
        <d v="2010-09-07T00:00:00"/>
        <d v="2009-02-06T00:00:00"/>
        <d v="2011-05-10T00:00:00"/>
        <d v="2011-07-29T00:00:00"/>
        <d v="2011-11-05T00:00:00"/>
        <d v="2012-12-14T00:00:00"/>
        <d v="2009-11-05T00:00:00"/>
        <d v="2011-03-31T00:00:00"/>
        <d v="2010-04-22T00:00:00"/>
        <d v="2011-01-21T00:00:00"/>
        <d v="2010-11-24T00:00:00"/>
        <d v="2010-12-19T00:00:00"/>
        <d v="2010-01-24T00:00:00"/>
        <d v="2011-06-10T00:00:00"/>
        <d v="2009-08-06T00:00:00"/>
        <d v="2012-09-17T00:00:00"/>
      </sharedItems>
      <fieldGroup par="23"/>
    </cacheField>
    <cacheField name="Order Priority" numFmtId="0">
      <sharedItems count="5">
        <s v="Low"/>
        <s v="Not Specified"/>
        <s v="High"/>
        <s v="Critical"/>
        <s v="Medium"/>
      </sharedItems>
    </cacheField>
    <cacheField name="Order Quantity" numFmtId="0">
      <sharedItems containsSemiMixedTypes="0" containsString="0" containsNumber="1" containsInteger="1" minValue="1" maxValue="50"/>
    </cacheField>
    <cacheField name="Sales" numFmtId="2">
      <sharedItems containsSemiMixedTypes="0" containsString="0" containsNumber="1" minValue="3.96" maxValue="21717.360000000001" count="553">
        <n v="261.54000000000002"/>
        <n v="6.93"/>
        <n v="2808.08"/>
        <n v="288.56"/>
        <n v="2484.7455"/>
        <n v="3812.73"/>
        <n v="108.15"/>
        <n v="1186.06"/>
        <n v="90.05"/>
        <n v="4158.1234999999997"/>
        <n v="75.569999999999993"/>
        <n v="32.72"/>
        <n v="461.89"/>
        <n v="192.81399999999999"/>
        <n v="1132.5999999999999"/>
        <n v="125.85"/>
        <n v="567.93600000000004"/>
        <n v="174.89"/>
        <n v="329.03"/>
        <n v="1315.74"/>
        <n v="310.52"/>
        <n v="184.86"/>
        <n v="126.58"/>
        <n v="586.11"/>
        <n v="2029.75"/>
        <n v="689.74"/>
        <n v="154.35"/>
        <n v="5677.6090000000004"/>
        <n v="136.77000000000001"/>
        <n v="188.73"/>
        <n v="10123.02"/>
        <n v="6375.28"/>
        <n v="2634.8555000000001"/>
        <n v="108.09"/>
        <n v="3872.634"/>
        <n v="218.27"/>
        <n v="46.94"/>
        <n v="1239.6315"/>
        <n v="1640.9"/>
        <n v="3659.66"/>
        <n v="7666.04"/>
        <n v="14.96"/>
        <n v="517.92999999999995"/>
        <n v="1156.6714999999999"/>
        <n v="15260.78"/>
        <n v="43.29"/>
        <n v="1000.78"/>
        <n v="234.2"/>
        <n v="4509.3774999999996"/>
        <n v="4965.7595000000001"/>
        <n v="210.4"/>
        <n v="1309.53"/>
        <n v="5437.92"/>
        <n v="394.27"/>
        <n v="129.49"/>
        <n v="70.239999999999995"/>
        <n v="283.64999999999998"/>
        <n v="262.87"/>
        <n v="93.54"/>
        <n v="628.22"/>
        <n v="4913.6899999999996"/>
        <n v="2781.82"/>
        <n v="1679.58"/>
        <n v="557.85"/>
        <n v="173.2"/>
        <n v="228.41"/>
        <n v="75.14"/>
        <n v="161.77000000000001"/>
        <n v="560.51"/>
        <n v="28.01"/>
        <n v="4261.9399999999996"/>
        <n v="88.84"/>
        <n v="589.24"/>
        <n v="2071.3395"/>
        <n v="126.57"/>
        <n v="43.57"/>
        <n v="59.85"/>
        <n v="378.6"/>
        <n v="197.56"/>
        <n v="196.85"/>
        <n v="53.46"/>
        <n v="19.32"/>
        <n v="65.7"/>
        <n v="104.94"/>
        <n v="1246.52"/>
        <n v="676.13"/>
        <n v="1193.6500000000001"/>
        <n v="1925.83"/>
        <n v="1222.68"/>
        <n v="227.66"/>
        <n v="922.39"/>
        <n v="80.61"/>
        <n v="605.97"/>
        <n v="4064.05"/>
        <n v="315.02"/>
        <n v="11230.25"/>
        <n v="90.56"/>
        <n v="132.07"/>
        <n v="248.26"/>
        <n v="583.64"/>
        <n v="1406.15"/>
        <n v="341.36"/>
        <n v="469.43799999999999"/>
        <n v="1187.55"/>
        <n v="269.02"/>
        <n v="4462.2299999999996"/>
        <n v="374.78"/>
        <n v="129.1"/>
        <n v="3532.96"/>
        <n v="662.16"/>
        <n v="46.46"/>
        <n v="14.68"/>
        <n v="257.39"/>
        <n v="494.34"/>
        <n v="892.38"/>
        <n v="3874.12"/>
        <n v="234.37"/>
        <n v="3908.65"/>
        <n v="42.58"/>
        <n v="834.904"/>
        <n v="2443.85"/>
        <n v="89.334999999999994"/>
        <n v="17129.97"/>
        <n v="5748.2"/>
        <n v="4530.96"/>
        <n v="726.22"/>
        <n v="21717.360000000001"/>
        <n v="1326.09"/>
        <n v="2135.9735000000001"/>
        <n v="293.18"/>
        <n v="4345.8599999999997"/>
        <n v="16.600000000000001"/>
        <n v="1297.3040000000001"/>
        <n v="511.83"/>
        <n v="80.900000000000006"/>
        <n v="2150.25"/>
        <n v="759.94"/>
        <n v="133.65"/>
        <n v="303.58999999999997"/>
        <n v="1225.52"/>
        <n v="163.13999999999999"/>
        <n v="755.60749999999996"/>
        <n v="5642.18"/>
        <n v="430.88"/>
        <n v="2047.58"/>
        <n v="67.239999999999995"/>
        <n v="46.34"/>
        <n v="233.43"/>
        <n v="183.41"/>
        <n v="1187.1199999999999"/>
        <n v="10656.26"/>
        <n v="28.32"/>
        <n v="133.04"/>
        <n v="1449.3"/>
        <n v="199.76"/>
        <n v="2415.38"/>
        <n v="1264.46"/>
        <n v="193.63"/>
        <n v="7871.91"/>
        <n v="909.82"/>
        <n v="7287.55"/>
        <n v="137.63999999999999"/>
        <n v="15464.01"/>
        <n v="122.14"/>
        <n v="3491.06"/>
        <n v="213.75"/>
        <n v="186.44"/>
        <n v="44.46"/>
        <n v="107.93"/>
        <n v="19342.84"/>
        <n v="66.41"/>
        <n v="692.73"/>
        <n v="43.56"/>
        <n v="3905.75"/>
        <n v="82.06"/>
        <n v="186.02"/>
        <n v="88.61"/>
        <n v="21134.71"/>
        <n v="7680.29"/>
        <n v="278"/>
        <n v="4577.18"/>
        <n v="3116.47"/>
        <n v="113.5"/>
        <n v="1324.09"/>
        <n v="1634.98"/>
        <n v="157.49"/>
        <n v="508.73"/>
        <n v="78.17"/>
        <n v="330.21"/>
        <n v="278.68"/>
        <n v="3629.1174999999998"/>
        <n v="22.56"/>
        <n v="282.07"/>
        <n v="82.72"/>
        <n v="64.819999999999993"/>
        <n v="31.77"/>
        <n v="11764.25"/>
        <n v="48.37"/>
        <n v="34.590000000000003"/>
        <n v="146.51"/>
        <n v="1078.49"/>
        <n v="523.11"/>
        <n v="8316.76"/>
        <n v="229.51"/>
        <n v="2051.0160000000001"/>
        <n v="1895.55"/>
        <n v="1427.67"/>
        <n v="736.3"/>
        <n v="1344.88"/>
        <n v="191.67"/>
        <n v="787.56"/>
        <n v="3830.14"/>
        <n v="4253.6499999999996"/>
        <n v="3872.87"/>
        <n v="197.41"/>
        <n v="231.26"/>
        <n v="6264.1854999999996"/>
        <n v="6831.72"/>
        <n v="98.39"/>
        <n v="103.87"/>
        <n v="10.58"/>
        <n v="336.06"/>
        <n v="1601.32"/>
        <n v="238.74"/>
        <n v="718.03"/>
        <n v="534.96"/>
        <n v="584.51099999999997"/>
        <n v="3553.62"/>
        <n v="554.21"/>
        <n v="136.61000000000001"/>
        <n v="42.66"/>
        <n v="142.97"/>
        <n v="158.69999999999999"/>
        <n v="153.28"/>
        <n v="22.19"/>
        <n v="927.97"/>
        <n v="213.71"/>
        <n v="181.17"/>
        <n v="815.89"/>
        <n v="627.91"/>
        <n v="2152.404"/>
        <n v="153.22999999999999"/>
        <n v="2053.3789999999999"/>
        <n v="4669.1899999999996"/>
        <n v="2393.63"/>
        <n v="204.11"/>
        <n v="427.32"/>
        <n v="246.06"/>
        <n v="288.91000000000003"/>
        <n v="136.66999999999999"/>
        <n v="259.72000000000003"/>
        <n v="383.57"/>
        <n v="72.930000000000007"/>
        <n v="321.57"/>
        <n v="76.599999999999994"/>
        <n v="271.11"/>
        <n v="177.95"/>
        <n v="79.37"/>
        <n v="1143.3499999999999"/>
        <n v="1463.0965000000001"/>
        <n v="353.62"/>
        <n v="268.08999999999997"/>
        <n v="1225.4100000000001"/>
        <n v="225.14"/>
        <n v="1038.4000000000001"/>
        <n v="3367.24"/>
        <n v="188.07"/>
        <n v="391.42"/>
        <n v="14.76"/>
        <n v="639.71"/>
        <n v="409.16"/>
        <n v="253.89"/>
        <n v="1165.33"/>
        <n v="215.76"/>
        <n v="179.45"/>
        <n v="7441.29"/>
        <n v="313.43"/>
        <n v="279.29000000000002"/>
        <n v="325.24"/>
        <n v="294.77999999999997"/>
        <n v="1765.05"/>
        <n v="2325.42"/>
        <n v="66.88"/>
        <n v="920"/>
        <n v="3041.33"/>
        <n v="123.85"/>
        <n v="126.87"/>
        <n v="41.94"/>
        <n v="775.74"/>
        <n v="831.52"/>
        <n v="168.31"/>
        <n v="106.64"/>
        <n v="4305.79"/>
        <n v="41.18"/>
        <n v="12.8"/>
        <n v="709.04"/>
        <n v="79.58"/>
        <n v="786.67499999999995"/>
        <n v="569.21"/>
        <n v="339.35"/>
        <n v="14451.75"/>
        <n v="1735.3515"/>
        <n v="4733.7"/>
        <n v="2932.99"/>
        <n v="525.55499999999995"/>
        <n v="434.73"/>
        <n v="48.91"/>
        <n v="885.94"/>
        <n v="49.55"/>
        <n v="129.62"/>
        <n v="288.55"/>
        <n v="254.69"/>
        <n v="120.53"/>
        <n v="138.16999999999999"/>
        <n v="501.38"/>
        <n v="2206.17"/>
        <n v="297.05"/>
        <n v="9.25"/>
        <n v="5261.73"/>
        <n v="2012.14"/>
        <n v="933.21"/>
        <n v="813.53499999999997"/>
        <n v="384.33"/>
        <n v="582.59"/>
        <n v="384.74"/>
        <n v="3922.42"/>
        <n v="5556.18"/>
        <n v="155.47999999999999"/>
        <n v="63.91"/>
        <n v="208.28"/>
        <n v="206.09"/>
        <n v="66.09"/>
        <n v="261.94"/>
        <n v="1734.72"/>
        <n v="133.94"/>
        <n v="199.11"/>
        <n v="216.95"/>
        <n v="320.26"/>
        <n v="857.42"/>
        <n v="373.33"/>
        <n v="75.72"/>
        <n v="57.84"/>
        <n v="240.14"/>
        <n v="336.85"/>
        <n v="89.71"/>
        <n v="188.23"/>
        <n v="169.18"/>
        <n v="295.24"/>
        <n v="869.78"/>
        <n v="730.33"/>
        <n v="22.13"/>
        <n v="235.49"/>
        <n v="1559.5"/>
        <n v="520.49"/>
        <n v="1143.8800000000001"/>
        <n v="187.39949999999999"/>
        <n v="1187.864"/>
        <n v="118.98"/>
        <n v="172.04"/>
        <n v="1703.8505"/>
        <n v="936.95"/>
        <n v="260.39"/>
        <n v="2300.4499999999998"/>
        <n v="4080.3"/>
        <n v="6900.13"/>
        <n v="1942.1735000000001"/>
        <n v="650.1395"/>
        <n v="1425.06"/>
        <n v="19.47"/>
        <n v="28.96"/>
        <n v="7223.59"/>
        <n v="31.35"/>
        <n v="1002.77"/>
        <n v="298.3"/>
        <n v="11057.6"/>
        <n v="1871.13"/>
        <n v="1449.21"/>
        <n v="820.56449999999995"/>
        <n v="118.18"/>
        <n v="354.45"/>
        <n v="457.68"/>
        <n v="229.35"/>
        <n v="3565.27"/>
        <n v="1337.81"/>
        <n v="75.03"/>
        <n v="1133.96"/>
        <n v="1003.71"/>
        <n v="1307"/>
        <n v="163.78"/>
        <n v="541.45000000000005"/>
        <n v="151.49"/>
        <n v="1610.76"/>
        <n v="446.06"/>
        <n v="1866.12"/>
        <n v="168.9"/>
        <n v="145.86000000000001"/>
        <n v="172.15"/>
        <n v="1423.35"/>
        <n v="14556.67"/>
        <n v="15383.7"/>
        <n v="3644.24"/>
        <n v="2039.56"/>
        <n v="1239.81"/>
        <n v="79.64"/>
        <n v="176.5"/>
        <n v="2654.16"/>
        <n v="3633.03"/>
        <n v="2348.66"/>
        <n v="223.64"/>
        <n v="262.76"/>
        <n v="158.83000000000001"/>
        <n v="12.18"/>
        <n v="1058.43"/>
        <n v="496.15"/>
        <n v="156.15"/>
        <n v="871.25"/>
        <n v="1757.43"/>
        <n v="6250.9359999999997"/>
        <n v="838.4"/>
        <n v="1111.008"/>
        <n v="1082.43"/>
        <n v="2773.84"/>
        <n v="262.54000000000002"/>
        <n v="227.37"/>
        <n v="136.41"/>
        <n v="283.13"/>
        <n v="6330.0860000000002"/>
        <n v="48.04"/>
        <n v="308.54000000000002"/>
        <n v="400.57"/>
        <n v="608.21"/>
        <n v="2040.95"/>
        <n v="1102.28"/>
        <n v="114.53"/>
        <n v="221.66"/>
        <n v="276.5"/>
        <n v="157.87"/>
        <n v="866.66"/>
        <n v="3245.73"/>
        <n v="128.69"/>
        <n v="482.91"/>
        <n v="333.68"/>
        <n v="281.83999999999997"/>
        <n v="65.849999999999994"/>
        <n v="1684.96"/>
        <n v="896.49"/>
        <n v="17.59"/>
        <n v="686.2"/>
        <n v="515.65"/>
        <n v="123.82"/>
        <n v="137.84"/>
        <n v="5023.2534999999998"/>
        <n v="17"/>
        <n v="69.06"/>
        <n v="302.05"/>
        <n v="81.430000000000007"/>
        <n v="502.01"/>
        <n v="150.28"/>
        <n v="971.82"/>
        <n v="436.48349999999999"/>
        <n v="3571.84"/>
        <n v="2421.44"/>
        <n v="37.299999999999997"/>
        <n v="12979.1"/>
        <n v="1446.97"/>
        <n v="901.32"/>
        <n v="188.05"/>
        <n v="808.673"/>
        <n v="180.27"/>
        <n v="351.49"/>
        <n v="2433.5500000000002"/>
        <n v="454.09"/>
        <n v="6580.16"/>
        <n v="44.05"/>
        <n v="4733.88"/>
        <n v="1556.61"/>
        <n v="3378.18"/>
        <n v="978.4"/>
        <n v="1200.1300000000001"/>
        <n v="2185.9535000000001"/>
        <n v="2182.91"/>
        <n v="7937.59"/>
        <n v="824.51"/>
        <n v="2172.5149999999999"/>
        <n v="10.33"/>
        <n v="480.43"/>
        <n v="226.18"/>
        <n v="14521.39"/>
        <n v="102.73"/>
        <n v="14960.096"/>
        <n v="272.01"/>
        <n v="3.96"/>
        <n v="4550.0600000000004"/>
        <n v="157.85"/>
        <n v="1116.03"/>
        <n v="473.88"/>
        <n v="212.91"/>
        <n v="150.16"/>
        <n v="4891.8599999999997"/>
        <n v="816.23"/>
        <n v="25.72"/>
        <n v="52.096499999999999"/>
        <n v="1217.6199999999999"/>
        <n v="222.2"/>
        <n v="1558.18"/>
        <n v="233.92"/>
        <n v="691.09"/>
        <n v="155.78"/>
        <n v="381.69"/>
        <n v="450.66"/>
        <n v="53.18"/>
        <n v="435.24"/>
        <n v="82.12"/>
        <n v="104.82"/>
        <n v="381.1995"/>
        <n v="1030.0899999999999"/>
        <n v="195.49"/>
        <n v="16066.85"/>
        <n v="404.3"/>
        <n v="145.15"/>
        <n v="54.3"/>
        <n v="251.51"/>
        <n v="24.96"/>
        <n v="1383.2"/>
        <n v="477.39"/>
        <n v="941.13"/>
        <n v="129.77000000000001"/>
        <n v="593.32000000000005"/>
        <n v="120.77"/>
        <n v="71.319999999999993"/>
        <n v="7813.7"/>
        <n v="106.69"/>
        <n v="777.63"/>
        <n v="950.46400000000006"/>
        <n v="1485.06"/>
        <n v="431.37"/>
        <n v="273.38"/>
        <n v="589.78"/>
        <n v="337.20350000000002"/>
        <n v="19.809999999999999"/>
        <n v="183.22"/>
        <n v="83.89"/>
        <n v="6095.14"/>
        <n v="231.27"/>
        <n v="188.38"/>
        <n v="48.75"/>
        <n v="881.50099999999998"/>
        <n v="141.4"/>
        <n v="2252.2620000000002"/>
        <n v="1225.3699999999999"/>
        <n v="169.4"/>
        <n v="1219.2484999999999"/>
        <n v="11022.53"/>
      </sharedItems>
    </cacheField>
    <cacheField name="Discount" numFmtId="2">
      <sharedItems containsSemiMixedTypes="0" containsString="0" containsNumber="1" minValue="0" maxValue="0.11"/>
    </cacheField>
    <cacheField name="Ship_Mode" numFmtId="0">
      <sharedItems/>
    </cacheField>
    <cacheField name="Profit" numFmtId="2">
      <sharedItems containsSemiMixedTypes="0" containsString="0" containsNumber="1" minValue="-4266.09" maxValue="8734.8799999999992"/>
    </cacheField>
    <cacheField name="Unit Price" numFmtId="0">
      <sharedItems containsSemiMixedTypes="0" containsString="0" containsNumber="1" minValue="1.1399999999999999" maxValue="3502.14"/>
    </cacheField>
    <cacheField name="Shipping_Cost" numFmtId="2">
      <sharedItems containsSemiMixedTypes="0" containsString="0" containsNumber="1" minValue="0.49" maxValue="126"/>
    </cacheField>
    <cacheField name="Customer Name" numFmtId="0">
      <sharedItems count="553">
        <s v="Muhammed MacIntyre"/>
        <s v="Ruben Dartt"/>
        <s v="Liz Pelletier"/>
        <s v="Julie Creighton"/>
        <s v="Sample Company A"/>
        <s v="Tamara Dahlen"/>
        <s v="Arthur Gainer"/>
        <s v="Jonathan Doherty"/>
        <s v="Helen Wasserman"/>
        <s v="Keith Dawkins"/>
        <s v="Craig Yedwab"/>
        <s v="Pauline Chand"/>
        <s v="Roy Collins"/>
        <s v="Emily Phan"/>
        <s v="Michael Dominguez"/>
        <s v="Anne Pryor"/>
        <s v="Valerie Takahito"/>
        <s v="Justin Hirsh"/>
        <s v="Maria Zettner"/>
        <s v="Brad Thomas"/>
        <s v="Penelope Sewall"/>
        <s v="Bart Folk"/>
        <s v="Karen Ferguson"/>
        <s v="Matt Abelman"/>
        <s v="Erin Creighton"/>
        <s v="Sean Braxton"/>
        <s v="Liz Willingham"/>
        <s v="Sonia Sunley"/>
        <s v="Paul Lucas"/>
        <s v="Dorris Love"/>
        <s v="Barry French"/>
        <s v="Sanjit Chand"/>
        <s v="Giulietta Weimer"/>
        <s v="Dario Medina"/>
        <s v="Frank Gastineau"/>
        <s v="Michelle Tran"/>
        <s v="Dean Percer"/>
        <s v="Henry MacAllister"/>
        <s v="Ricardo Block"/>
        <s v="Cari Sayre"/>
        <s v="Sonia Cooley"/>
        <s v="Tracy Poddar"/>
        <s v="Jennifer Halladay"/>
        <s v="Stuart Calhoun"/>
        <s v="Robert Barroso"/>
        <s v="Tony Sayre"/>
        <s v="Matt Collins"/>
        <s v="Darrin Martin"/>
        <s v="Art Foster"/>
        <s v="Clay Rozendal"/>
        <s v="Valerie Dominguez"/>
        <s v="Sam Craven"/>
        <s v="Arthur Prichep"/>
        <s v="Carlos Soltero"/>
        <s v="Sung Chung"/>
        <s v="Ken Brennan"/>
        <s v="Joe Elijah"/>
        <s v="Sheri Gordon"/>
        <s v="Carl Jackson"/>
        <s v="Dave Hallsten"/>
        <s v="Tamara Chand"/>
        <s v="Monica Federle"/>
        <s v="Bill Eplett"/>
        <s v="Harold Engle"/>
        <s v="Duane Huffman"/>
        <s v="Dorothy Badders"/>
        <s v="Sarah Jordon"/>
        <s v="Susan MacKendrick"/>
        <s v="Caroline Jumper"/>
        <s v="Thomas Boland"/>
        <s v="Roy French"/>
        <s v="Darrin Van Huff"/>
        <s v="Pamela Stobb"/>
        <s v="Helen Abelman"/>
        <s v="Sibella Parks"/>
        <s v="Peter McVee"/>
        <s v="Thais Sissman"/>
        <s v="Kean Nguyen"/>
        <s v="Toby Swindell"/>
        <s v="Neola Schneider"/>
        <s v="Alice McCarthy"/>
        <s v="Olvera Toch"/>
        <s v="Sean O'Donnell"/>
        <s v="David Kendrick"/>
        <s v="Edward Nazzal"/>
        <s v="Sanjit Jacobs"/>
        <s v="Karen Carlisle"/>
        <s v="Meg O'Connel"/>
        <s v="Anthony O'Donnell"/>
        <s v="Luke Foster"/>
        <s v="Phillina Ober"/>
        <s v="Claudia Miner"/>
        <s v="Jim Kriz"/>
        <s v="Mike Vittorini"/>
        <s v="Stefania Perrino"/>
        <s v="Jas O'Carroll"/>
        <s v="Maureen Gastineau"/>
        <s v="Kelly Lampkin"/>
        <s v="Allen Rosenblatt"/>
        <s v="Max Jones"/>
        <s v="Hallie Redmond"/>
        <s v="Anthony Witt"/>
        <s v="Jim Epp"/>
        <s v="Harold Dahlen"/>
        <s v="Muhammed Yedwab"/>
        <s v="Sylvia Foulston"/>
        <s v="Ionia McGrath"/>
        <s v="Aaron Smayling"/>
        <s v="Karl Brown"/>
        <s v="Sung Shariari"/>
        <s v="Craig Carroll"/>
        <s v="Lela Donovan"/>
        <s v="Nicole Brennan"/>
        <s v="Tanja Norvell"/>
        <s v="Emily Grady"/>
        <s v="Sally Matthias"/>
        <s v="Lena Creighton"/>
        <s v="Mitch Willingham"/>
        <s v="Justin Knight"/>
        <s v="Jim Radford"/>
        <s v="Ritsa Hightower"/>
        <s v="Corey Catlett"/>
        <s v="Frank Merwin"/>
        <s v="Ed Jacobs"/>
        <s v="Carol Darley"/>
        <s v="Stefanie Holloman"/>
        <s v="Noel Staavos"/>
        <s v="Shahid Shariari"/>
        <s v="Barry Gonzalez"/>
        <s v="Maribeth Schnelling"/>
        <s v="Harold Ryan"/>
        <s v="Grant Thornton"/>
        <s v="Ted Trevino"/>
        <s v="Carl Ludwig"/>
        <s v="Don Miller"/>
        <s v="Linda Southworth"/>
        <s v="Lena Radford"/>
        <s v="Dave Poirier"/>
        <s v="Liz MacKendrick"/>
        <s v="Aleksandra Gannaway"/>
        <s v="Sean Christensen"/>
        <s v="John Lucas"/>
        <s v="Nona Balk"/>
        <s v="Art Ferguson"/>
        <s v="Ed Ludwig"/>
        <s v="Annie Cyprus"/>
        <s v="Roger Barcio"/>
        <s v="Joni Blumstein"/>
        <s v="Deanra Eno"/>
        <s v="Trudy Schmidt"/>
        <s v="Becky Pak"/>
        <s v="Susan Vittorini"/>
        <s v="Tom Stivers"/>
        <s v="Alex Avila"/>
        <s v="Roy Phan"/>
        <s v="Sung Pak"/>
        <s v="Kean Thornton"/>
        <s v="Joe Kamberova"/>
        <s v="Benjamin Venier"/>
        <s v="Brian Moss"/>
        <s v="Alejandro Grove"/>
        <s v="Sam Zeldin"/>
        <s v="Katherine Murray"/>
        <s v="Paul Knutson"/>
        <s v="Barry Franz"/>
        <s v="Sandra Glassco"/>
        <s v="Alan Hwang"/>
        <s v="James Galang"/>
        <s v="Rob Lucas"/>
        <s v="Todd Boyes"/>
        <s v="Nora Paige"/>
        <s v="Andy Reiter"/>
        <s v="Lori Olson"/>
        <s v="Vivian Mathis"/>
        <s v="Jack O'Briant"/>
        <s v="Sarah Brown"/>
        <s v="Elpida Rittenbach"/>
        <s v="Clay Cheatham"/>
        <s v="Grant Donatelli"/>
        <s v="Grant Carroll"/>
        <s v="Rob Haberlin"/>
        <s v="Maribeth Dona"/>
        <s v="Liz Thompson"/>
        <s v="Fred Harton"/>
        <s v="Jennifer Braxton"/>
        <s v="Sara Luxemburg"/>
        <s v="Sally Hughsby"/>
        <s v="Vivek Gonzalez"/>
        <s v="Adam Hart"/>
        <s v="Andrew Allen"/>
        <s v="Michael Moore"/>
        <s v="Bobby Elias"/>
        <s v="Alan Barnes"/>
        <s v="Roland Fjeld"/>
        <s v="Cindy Chapman"/>
        <s v="Brenda Bowman"/>
        <s v="Art Miller"/>
        <s v="Christine Kargatis"/>
        <s v="Eileen Kiefer"/>
        <s v="Patrick Ryan"/>
        <s v="Jack Garza"/>
        <s v="Nathan Cano"/>
        <s v="Troy Blackwell"/>
        <s v="Bill Shonely"/>
        <s v="Christopher Martinez"/>
        <s v="Jay Fine"/>
        <s v="Philip Brown"/>
        <s v="Jane Waco"/>
        <s v="Denny Ordway"/>
        <s v="Eugene Barchas"/>
        <s v="Ross Baird"/>
        <s v="Luke Schmidt"/>
        <s v="Bill Tyler"/>
        <s v="Yoseph Carroll"/>
        <s v="Nora Price"/>
        <s v="Tim Brockman"/>
        <s v="Alan Schoenberger"/>
        <s v="Charles Crestani"/>
        <s v="Tracy Zic"/>
        <s v="Christy Brittain"/>
        <s v="Jasper Cacioppo"/>
        <s v="David Wiener"/>
        <s v="Helen Andreada"/>
        <s v="Paul Prost"/>
        <s v="Bradley Nguyen"/>
        <s v="Matt Collister"/>
        <s v="Annie Thurman"/>
        <s v="Bradley Drucker"/>
        <s v="Richard Eichhorn"/>
        <s v="Alan Haines"/>
        <s v="Brad Eason"/>
        <s v="James Lanier"/>
        <s v="Raymond Book"/>
        <s v="Neil Knudson"/>
        <s v="Ben Peterman"/>
        <s v="Sandra Flanagan"/>
        <s v="Michael Granlund"/>
        <s v="Cathy Armstrong"/>
        <s v="Alex Grayson"/>
        <s v="Lisa DeCherney"/>
        <s v="Gary McGarr"/>
        <s v="Steve Nguyen"/>
        <s v="Susan Gilcrest"/>
        <s v="Mick Crebagga"/>
        <s v="Roy Skaria"/>
        <s v="Giulietta Baptist"/>
        <s v="Nicole Hansen"/>
        <s v="Tom Prescott"/>
        <s v="Ken Heidel"/>
        <s v="Logan Haushalter"/>
        <s v="Ann Blume"/>
        <s v="Lena Cacioppo"/>
        <s v="Denise Leinenbach"/>
        <s v="Herbert Flentye"/>
        <s v="Steven Ward"/>
        <s v="Lynn Smith"/>
        <s v="Evan Henry"/>
        <s v="Marc Harrigan"/>
        <s v="Erin Smith"/>
        <s v="Alan Dominguez"/>
        <s v="Ken Black"/>
        <s v="Deirdre Greer"/>
        <s v="Thomas Thornton"/>
        <s v="Keith Herrera"/>
        <s v="Jack Lebron"/>
        <s v="Christine Sundaresam"/>
        <s v="Bruce Stewart"/>
        <s v="Allen Golden"/>
        <s v="Aaron Bergman"/>
        <s v="Bruce Money"/>
        <s v="Tamara Willingham"/>
        <s v="Liz Price"/>
        <s v="Dan Campbell"/>
        <s v="Kelly Andreada"/>
        <s v="Victoria Pisteka"/>
        <s v="Erica Bern"/>
        <s v="Scott Cohen"/>
        <s v="Michael Paige"/>
        <s v="Scott Williamson"/>
        <s v="Ryan Crowe"/>
        <s v="Dennis Bolton"/>
        <s v="Thea Hendricks"/>
        <s v="Odella Nelson"/>
        <s v="Clytie Kelty"/>
        <s v="Christina Anderson"/>
        <s v="Adrian Hane"/>
        <s v="Lindsay Williams"/>
        <s v="Max Engle"/>
        <s v="Neil French"/>
        <s v="Michael Stewart"/>
        <s v="Giulietta Dortch"/>
        <s v="Xylona Price"/>
        <s v="Rob Dowd"/>
        <s v="Randy Bradley"/>
        <s v="Sean Wendt"/>
        <s v="John Castell"/>
        <s v="Mark Haberlin"/>
        <s v="Lauren Leatherbury"/>
        <s v="Pete Takahito"/>
        <s v="Lycoris Saunders"/>
        <s v="Tonja Turnell"/>
        <s v="William Brown"/>
        <s v="Irene Maddox"/>
        <s v="Khloe Miller"/>
        <s v="Kelly Williams"/>
        <s v="Carl Weiss"/>
        <s v="Don Jones"/>
        <s v="Frank Carlisle"/>
        <s v="Anna Andreadi"/>
        <s v="Beth Thompson"/>
        <s v="Anna Gayman"/>
        <s v="Rick Hansen"/>
        <s v="Gary Hansen"/>
        <s v="Dennis Kane"/>
        <s v="Raymond Fair"/>
        <s v="Theresa Swint"/>
        <s v="Kristina Nunn"/>
        <s v="Sean Miller"/>
        <s v="Nancy Lomonaco"/>
        <s v="Shirley Jackson"/>
        <s v="Guy Thornton"/>
        <s v="David Philippe"/>
        <s v="Ann Chong"/>
        <s v="Nat Gilpin"/>
        <s v="Maurice Satty"/>
        <s v="Joy Bell"/>
        <s v="Filia McAdams"/>
        <s v="Ellis Ballard"/>
        <s v="Eric Murdock"/>
        <s v="Skye Norling"/>
        <s v="Toby Grace"/>
        <s v="Arianne Irving"/>
        <s v="Phillip Flathmann"/>
        <s v="Michael Kennedy"/>
        <s v="Henry Goldwyn"/>
        <s v="Adam Shillingsburg"/>
        <s v="Katharine Harms"/>
        <s v="Joseph Holt"/>
        <s v="Ricardo Emerson"/>
        <s v="Nathan Mautz"/>
        <s v="Anna Haberlin"/>
        <s v="Ralph Arnett"/>
        <s v="Alan Shonely"/>
        <s v="Julie Prescott"/>
        <s v="Cynthia Arntzen"/>
        <s v="Jill Fjeld"/>
        <s v="Max Ludwig"/>
        <s v="Natalie Webber"/>
        <s v="Brooke Gillingham"/>
        <s v="Lindsay Castell"/>
        <s v="Victor Price"/>
        <s v="Peter Buhler"/>
        <s v="Erin Ashbrook"/>
        <s v="Logan Currie"/>
        <s v="Phillip Breyer"/>
        <s v="Dianna Arnett"/>
        <s v="Dean Katz"/>
        <s v="Shaun Weien"/>
        <s v="Steve Chapman"/>
        <s v="Andy Gerbode"/>
        <s v="Debra Catini"/>
        <s v="Mary Zewe"/>
        <s v="Eric Hoffmann"/>
        <s v="Greg Matthias"/>
        <s v="Kimberly Carter"/>
        <s v="Mark Packer"/>
        <s v="Darren Koutras"/>
        <s v="Jill Stevenson"/>
        <s v="Resi Polking"/>
        <s v="Roger Demir"/>
        <s v="Michelle Moray"/>
        <s v="Evan Bailliet"/>
        <s v="Darren Budd"/>
        <s v="Tom Boeckenhauer"/>
        <s v="Meg Tillman"/>
        <s v="Erica Hackney"/>
        <s v="Gene Hale"/>
        <s v="Maya Herman"/>
        <s v="Michelle Ellison"/>
        <s v="Dennis Pardue"/>
        <s v="Bill Stewart"/>
        <s v="Benjamin Farhat"/>
        <s v="Patrick O'Brill"/>
        <s v="Marc Crier"/>
        <s v="Jason Klamczynski"/>
        <s v="Tamara Manning"/>
        <s v="Becky Martin"/>
        <s v="Eva Jacobs"/>
        <s v="Fred McMath"/>
        <s v="Cynthia Voltz"/>
        <s v="Joseph Airdo"/>
        <s v="Speros Goranitis"/>
        <s v="Roland Murray"/>
        <s v="Suzanne McNair"/>
        <s v="Barry Pond"/>
        <s v="Tony Molinari"/>
        <s v="Stewart Visinsky"/>
        <s v="Christopher Schild"/>
        <s v="Michael Nguyen"/>
        <s v="Russell Applegate"/>
        <s v="Jeremy Pistek"/>
        <s v="Bryan Davis"/>
        <s v="Craig Leslie"/>
        <s v="Christopher Conant"/>
        <s v="Alejandro Ballentine"/>
        <s v="Hunter Lopez"/>
        <s v="Andrew Roberts"/>
        <s v="Eugene Hildebrand"/>
        <s v="Gene McClure"/>
        <s v="Larry Tron"/>
        <s v="Mick Hernandez"/>
        <s v="Delfina Latchford"/>
        <s v="Sanjit Engle"/>
        <s v="Trudy Brown"/>
        <s v="Melanie Page"/>
        <s v="Evan Minnotte"/>
        <s v="Guy Phonely"/>
        <s v="Doug Bickford"/>
        <s v="Michael Grace"/>
        <s v="Susan Pistek"/>
        <s v="Darren Powers"/>
        <s v="Pauline Johnson"/>
        <s v="Joni Wasserman"/>
        <s v="Dave Brooks"/>
        <s v="Jocasta Rupert"/>
        <s v="Aaron Hawkins"/>
        <s v="Deborah Brumfield"/>
        <s v="Saphhira Shifley"/>
        <s v="Jamie Kunitz"/>
        <s v="Anthony Johnson"/>
        <s v="Jenna Caffey"/>
        <s v="Ross DeVincentis"/>
        <s v="Scot Coram"/>
        <s v="Cynthia Delaney"/>
        <s v="Janet Molinari"/>
        <s v="Kalyca Meade"/>
        <s v="Berenike Kampe"/>
        <s v="Natalie Fritzler"/>
        <s v="Hilary Holden"/>
        <s v="Sarah Bern"/>
        <s v="Patrick Bzostek"/>
        <s v="Laurel Beltran"/>
        <s v="Chuck Sachs"/>
        <s v="Erica Smith"/>
        <s v="Ivan Liston"/>
        <s v="Ann Steele"/>
        <s v="Cindy Stewart"/>
        <s v="Grace Kelly"/>
        <s v="Dan Lawera"/>
        <s v="Troy Staebel"/>
        <s v="Cathy Prescott"/>
        <s v="George Ashbrook"/>
        <s v="Greg Guthrie"/>
        <s v="Philip Fox"/>
        <s v="Daniel Byrd"/>
        <s v="Arthur Wiediger"/>
        <s v="Jennifer Ferguson"/>
        <s v="Karen Daniels"/>
        <s v="Jim Mitchum"/>
        <s v="Pamela Coakley"/>
        <s v="John Huston"/>
        <s v="Katherine Nockton"/>
        <s v="Andy Yotov"/>
        <s v="John Murray"/>
        <s v="Frank Hawley"/>
        <s v="Allen Armold"/>
        <s v="Dan Reichenbach"/>
        <s v="Jill Matthias"/>
        <s v="MaryBeth Skach"/>
        <s v="Theresa Coyne"/>
        <s v="Bobby Trafton"/>
        <s v="Brian Dahlen"/>
        <s v="Mike Kennedy"/>
        <s v="Rick Duston"/>
        <s v="Tim Taslimi"/>
        <s v="Tracy Blumstein"/>
        <s v="Juliana Krohn"/>
        <s v="Jason Fortune"/>
        <s v="Erica Hernandez"/>
        <s v="Toby Knight"/>
        <s v="Anemone Ratner"/>
        <s v="Duane Noonan"/>
        <s v="David Flashing"/>
        <s v="Elizabeth Moffitt"/>
        <s v="Naresj Patel"/>
        <s v="Patricia Hirasaki"/>
        <s v="Paul Gonzalez"/>
        <s v="Magdelene Morse"/>
        <s v="Greg Maxwell"/>
        <s v="Cari MacIntyre"/>
        <s v="Beth Fritzler"/>
        <s v="Jeremy Farry"/>
        <s v="Janet Martin"/>
        <s v="Clay Ludtke"/>
        <s v="Corey Roper"/>
        <s v="Duane Benoit"/>
        <s v="Alyssa Crouse"/>
        <s v="Nick Crebassa"/>
        <s v="Brian Derr"/>
        <s v="Laura Armstrong"/>
        <s v="Nora Pelletier"/>
        <s v="Jonathan Howell"/>
        <s v="Roland Black"/>
        <s v="Matthew Clasen"/>
        <s v="Craig Rider"/>
        <s v="Linda Cazamias"/>
        <s v="Jason Gross"/>
        <s v="Jim Sink"/>
        <s v="Maribeth Yedwab"/>
        <s v="Mitch Webber"/>
        <s v="Carol Triggs"/>
        <s v="Chad Cunningham"/>
        <s v="Harry Greene"/>
        <s v="Luke Weiss"/>
        <s v="Dana Kaydos"/>
        <s v="Cindy Schnelling"/>
        <s v="Stewart Carmichael"/>
        <s v="Rick Reed"/>
        <s v="Frank Atkinson"/>
        <s v="Tom Ashbrook"/>
        <s v="Katrina Bavinger"/>
        <s v="Laurel Workman"/>
        <s v="Bradley Talbott"/>
        <s v="Victoria Brennan"/>
        <s v="Anthony Jacobs"/>
        <s v="Noah Childs"/>
        <s v="Katrina Edelman"/>
        <s v="Mike Pelletier"/>
        <s v="Charles McCrossin"/>
        <s v="Eleni McCrary"/>
        <s v="Philisse Overcash"/>
        <s v="Pete Kriz"/>
        <s v="Sarah Foster"/>
        <s v="Nick Zandusky"/>
        <s v="Richard Bierner"/>
        <s v="Victoria Wilson"/>
        <s v="Paul Stevenson"/>
        <s v="Frank Olsen"/>
        <s v="Adrian Shami"/>
        <s v="Vivek Sundaresam"/>
        <s v="Doug O'Connell"/>
        <s v="Ryan Akin"/>
        <s v="Neoma Murray"/>
        <s v="Joel Jenkins"/>
        <s v="Karen Bern"/>
        <s v="Julie Kriz"/>
        <s v="Kristen Hastings"/>
        <s v="Fred Hopkins"/>
        <s v="Ted Butterfield"/>
        <s v="Todd Sumrall"/>
        <s v="Mark Van Huff"/>
        <s v="Maria Etezadi"/>
        <s v="Shirley Daniels"/>
      </sharedItems>
    </cacheField>
    <cacheField name="Province" numFmtId="0">
      <sharedItems/>
    </cacheField>
    <cacheField name="Region" numFmtId="0">
      <sharedItems count="8">
        <s v="Nunavut"/>
        <s v="West"/>
        <s v="Ontario"/>
        <s v="Prarie"/>
        <s v="Quebec"/>
        <s v="Yukon"/>
        <s v="Atlantic"/>
        <s v="Northwest Territories"/>
      </sharedItems>
    </cacheField>
    <cacheField name="Customer Segment" numFmtId="0">
      <sharedItems count="4">
        <s v="Small Business"/>
        <s v="Corporate"/>
        <s v="Home Office"/>
        <s v="Consumer"/>
      </sharedItems>
    </cacheField>
    <cacheField name=" Category" numFmtId="0">
      <sharedItems count="3">
        <s v="Office Supplies"/>
        <s v="Furniture"/>
        <s v="Technology"/>
      </sharedItems>
    </cacheField>
    <cacheField name=" Sub-Category" numFmtId="0">
      <sharedItems/>
    </cacheField>
    <cacheField name="Product Name" numFmtId="0">
      <sharedItems containsMixedTypes="1" containsNumber="1" containsInteger="1" minValue="232" maxValue="8260" count="553">
        <s v="Eldon Base for stackable storage shelf, platinum"/>
        <s v="Kleencut¨ Forged Office Shears by Acme United Corporation"/>
        <s v="Tenex Contemporary Contur Chairmats for Low and Medium Pile Carpet, Computer, 39&quot; x 49&quot;"/>
        <s v="Dixon Ticonderoga Core-Lock Colored Pencils"/>
        <s v="6162i"/>
        <s v="Verbatim DVD-R, 4.7GB, Spindle, WE, Blank, Ink Jet/Thermal, 20/Spindle"/>
        <s v="Newell 340"/>
        <s v="Advantus Employee of the Month Certificate Frame, 11 x 13-1/2"/>
        <s v="Super Bands, 12/Pack"/>
        <s v="SC7868i"/>
        <s v="Avery 498"/>
        <s v="Xerox 217"/>
        <s v="Canon MP41DH Printing Calculator"/>
        <s v="Bell Sonecor JB700 Caller ID"/>
        <s v="Safco Industrial Wire Shelving"/>
        <s v="Imation 3.5&quot;, DISKETTE 44766 HGHLD3.52HD/FM, 10/Pack"/>
        <s v="i270"/>
        <s v="Eldon Simplefile¨ Box Office¨"/>
        <s v="Master Caster Door Stop, Large Neon Orange"/>
        <s v="Dixon Ticonderoga Core-Lock Colored Pencils, 48-Color Set"/>
        <s v="Acme¨ 8&quot; Straight Scissors"/>
        <s v="Eldon¨ Expressionsª Wood Desk Accessories, Oak"/>
        <s v="Newell 314"/>
        <s v="Nu-Dell Executive Frame"/>
        <s v="Boston 1645 Deluxe Heavier-Duty Electric Pencil Sharpener"/>
        <s v="Hoover WindTunnelª Plus Canister Vacuum"/>
        <s v="Xerox 1984"/>
        <n v="7160"/>
        <s v="3M Organizer Strips"/>
        <s v="Rediform Wirebound &quot;Phone Memo&quot; Message Book, 11 x 5-3/4"/>
        <s v="1.7 Cubic Foot Compact &quot;Cube&quot; Office Refrigerators"/>
        <s v="Fellowes Staxonsteel¨ Drawer Files"/>
        <s v="I888 World Phone"/>
        <s v="Staples Standard Envelopes"/>
        <s v="VTech VT20-2481 2.4GHz Two-Line Phone System w/Answering Machine"/>
        <s v="DXLª Angle-View Binders with Locking Rings, Black"/>
        <s v="Quartet Alpha¨ White Chalk, 12/Pack"/>
        <s v="Accessory4"/>
        <s v="O'Sullivan 2-Shelf Heavy-Duty Bookcases"/>
        <s v="Bevis 36 x 72 Conference Tables"/>
        <s v="BPI Conference Tables"/>
        <s v="Avery 501"/>
        <s v="Harmony HEPA Quiet Air Purifiers"/>
        <n v="5190"/>
        <s v="Hewlett-Packard cp1700 [D, PS] Series Color Inkjet Printers"/>
        <s v="Xerox 190"/>
        <s v="Panasonic KP-350BK Electric Pencil Sharpener with Auto Stop"/>
        <s v="Staples Bulk Pack Metal Binder Clips"/>
        <n v="636"/>
        <s v="R380"/>
        <s v="Belkin 6 Outlet Metallic Surge Strip"/>
        <s v="Lifetime Advantageª Folding Chairs, 4/Carton"/>
        <s v="Global Leather &amp; Oak Executive Chair, Burgundy"/>
        <s v="Holmes HEPA Air Purifier"/>
        <s v="Avery 481"/>
        <s v="Xerox 1922"/>
        <s v="Xerox 195"/>
        <s v="Xerox 1928"/>
        <s v="Angle-D Binders with Locking Rings, Label Holders"/>
        <s v="Nu-Dell Leatherette Frames"/>
        <s v="O'Sullivan Living Dimensions 2-Shelf Bookcases"/>
        <s v="SAFCO Commercial Wire Shelving, Black"/>
        <s v="Hon 4070 Series Pagodaª Round Back Stacking Chairs"/>
        <s v="GBC Binding covers"/>
        <s v="Acme¨ Forged Steel Scissors with Black Enamel Handles"/>
        <s v="Xerox 198"/>
        <s v="Newell 326"/>
        <s v="Avery Poly Binder Pockets"/>
        <s v="Belkin 8 Outlet SurgeMaster II Gold Surge Protector with Phone Protection"/>
        <s v="Avery White Multi-Purpose Labels"/>
        <s v="Hewlett-Packard Deskjet 5550 Color Inkjet Printer"/>
        <s v="Xerox 1949"/>
        <s v="Bionaire 99.97% HEPA Air Cleaner"/>
        <s v="Talkabout T8367"/>
        <s v="Hoover Portapowerª Portable Vacuum"/>
        <s v="Bagged Rubber Bands"/>
        <s v="Rogers Handheld Barrel Pencil Sharpener"/>
        <s v="Fellowes Binding Cases"/>
        <s v="DAX Value U-Channel Document Frames, Easel Back"/>
        <s v="Xerox 1980"/>
        <s v="Xerox 1976"/>
        <s v="GBC ProClick Spines for 32-Hole Punch"/>
        <s v="Avery Hi-Liter¨ Smear-Safe Highlighters"/>
        <s v="Eldon Expressions Mahogany Wood Desk Collection"/>
        <s v="GBC Standard Therm-A-Bind Covers"/>
        <s v="Logitech Access Keyboard"/>
        <s v="Avery Trapezoid Ring Binder, 3&quot; Capacity, Black, 1040 sheets"/>
        <s v="Kensington 7 Outlet MasterPiece Power Center with Fax/Phone Line Protection"/>
        <s v="Belkin 8 Outlet SurgeMaster II Gold Surge Protector"/>
        <s v="Micro Innovations 104 Keyboard"/>
        <s v="Deflect-o EconoMat Studded, No Bevel Mat for Low Pile Carpeting"/>
        <s v="Wilson Jones 1&quot; Hanging DublLock¨ Ring Binders"/>
        <s v="DAX Wood Document Frame."/>
        <s v="GBC Therma-A-Bind 250T Electric Binding System"/>
        <s v="Avery Hanging File Binders"/>
        <s v="Global Adaptabilitiesª Conference Tables"/>
        <s v="Sharp EL500L Fraction Calculator"/>
        <s v="OIC Colored Binder Clips, Assorted Sizes"/>
        <s v="#10-4 1/8&quot; x 9 1/2&quot; Premium Diagonal Seam Envelopes"/>
        <s v="Fellowes Stor/Drawer¨ Steel Plusª Storage Drawers"/>
        <s v="Hon Metal Bookcases, Putty"/>
        <s v="Imation 3.5&quot;, RTS 247544 3M 3.5 DSDD, 10/Pack"/>
        <s v="T28 WORLD"/>
        <s v="Vinyl Sectional Post Binders"/>
        <s v="Microsoft Internet Keyboard"/>
        <s v="Hon 4-Shelf Metal Bookcases"/>
        <s v="Xerox 194"/>
        <s v="Grip Seal Envelopes"/>
        <s v="Barricks 18&quot; x 48&quot; Non-Folding Utility Table with Bottom Storage Shelf"/>
        <s v="Memorex 4.7GB DVD+RW, 3/Pack"/>
        <s v="Holmes Odor Grabber"/>
        <s v="Avery Printable Repositionable Plastic Tabs"/>
        <s v="Xerox 1981"/>
        <s v="Fellowes Bankers Boxª Stor/Drawer¨ Steel Plusª"/>
        <s v="Memorex 4.7GB DVD-RAM, 3/Pack"/>
        <s v="O'Sullivan Elevations Bookcase, Cherry Finish"/>
        <s v="Wilson Jones Impact Binders"/>
        <s v="Eldon Antistatic Chair Mats for Low to Medium Pile Carpets"/>
        <s v="Wirebound Message Books, Four 2 3/4&quot; x 5&quot; Forms per Page, 600 Sets per Book"/>
        <s v="g520"/>
        <s v="Bush Westfield Collection Bookcases, Fully Assembled"/>
        <s v="Accessory37"/>
        <s v="Deluxe Rollaway Locking File with Drawer"/>
        <s v="Rush Hierlooms Collection Rich Wood Bookcases"/>
        <s v="Balt Solid Wood Rectangular Table"/>
        <s v="Executive Impressions 12&quot; Wall Clock"/>
        <s v="Canon PC1060 Personal Laser Copier"/>
        <s v="GBC DocuBind 200 Manual Binding Machine"/>
        <s v="SC-3160"/>
        <s v="TDK 4.7GB DVD-R"/>
        <s v="Adesso Programmable 142-Key Keyboard"/>
        <s v="Peel &amp; Stick Add-On Corner Pockets"/>
        <s v="T60"/>
        <s v="GBC Pre-Punched Binding Paper, Plastic, White, 8-1/2&quot; x 11&quot;"/>
        <s v="Newell 335"/>
        <s v="Belkin Premiere Surge Master II 8-outlet surge protector"/>
        <s v="Global Push Button Manager's Chair, Indigo"/>
        <s v="Rediform S.O.S. Phone Message Books"/>
        <s v="Eldon Expressionsª Desk Accessory, Wood Pencil Holder, Oak"/>
        <s v="Belkin OmniView SE Rackmount Kit"/>
        <s v="Strathmore Photo Mount Cards"/>
        <s v="Accessory35"/>
        <s v="GBC ProClickª 150 Presentation Binding System"/>
        <s v="#10 Self-Seal White Envelopes"/>
        <s v="Imation Printable White 80 Minute CD-R Spindle, 50/Pack"/>
        <s v="SANFORD Liquid Accentª Tank-Style Highlighters"/>
        <s v="Plymouth Boxed Rubber Bands by Plymouth"/>
        <s v="GBC Standard Plastic Binding Systems' Combs"/>
        <s v="ACCOHIDE¨ 3-Ring Binder, Blue, 1&quot;"/>
        <s v="Hon Comfortask¨ Task/Swivel Chairs"/>
        <s v="SAFCO Arco Folding Chair"/>
        <s v="Hammermill CopyPlus Copy Paper (20Lb. and 84 Bright)"/>
        <s v="Wilson Jones Suede Grain Vinyl Binders"/>
        <s v="Euro Pro Shark Stick Mini Vacuum"/>
        <s v="DIXON Ticonderoga¨ Erasable Checking Pencils"/>
        <s v="Bevis Steel Folding Chairs"/>
        <s v="Hon iLevelª Computer Training Table"/>
        <s v="Ibico Presentation Index for Binding Systems"/>
        <s v="Sanyo Counter Height Refrigerator with Crisper, 3.6 Cubic Foot, Stainless Steel/Black"/>
        <s v="Memorex 80 Minute CD-R, 30/Pack"/>
        <s v="Hon 94000 Series Round Tables"/>
        <s v="Heavy-Duty E-Z-D¨ Binders"/>
        <s v="Epson LQ-870 Dot Matrix Printer"/>
        <s v="Tenex Personal Project File with Scoop Front Design, Black"/>
        <s v="3M Polarizing Task Lamp with Clamp Arm, Light Gray"/>
        <s v="Imation 3.5, DISKETTE 44766 HGHLD3.52HD/FM, 10/Pack"/>
        <s v="Hoover Replacement Belts For Soft Guardª &amp; Commercial Ltweight Upright Vacs, 2/Pk"/>
        <s v="Avery 482"/>
        <s v="ACCOHIDE¨ Binder by Acco"/>
        <s v="Global Troyª Executive Leather Low-Back Tilter"/>
        <s v="#10- 4 1/8&quot; x 9 1/2&quot; Recycled Envelopes"/>
        <s v="Xerox 1893"/>
        <s v="Eldon Expressions Punched Metal &amp; Wood Desk Accessories, Black &amp; Cherry"/>
        <s v="Bevis Round Conference Table Top, X-Base"/>
        <s v="Ibico Covers for Plastic or Wire Binding Elements"/>
        <s v="Eldon Expressions Punched Metal &amp; Wood Desk Accessories, Pewter &amp; Cherry"/>
        <s v="Durable Pressboard Binders"/>
        <s v="Okidata Pacemark 4410N Wide Format Dot Matrix Printer"/>
        <s v="Bush Advantage Collection¨ Round Conference Table"/>
        <s v="Col-Erase¨ Pencils with Erasers"/>
        <s v="Office Star - Task Chair with Contemporary Loop Arms"/>
        <s v="Bush Westfield Collection Bookcases, Dark Cherry Finish, Fully Assembled"/>
        <s v="Acco Four Pocket Poly Ring Binder with Label Holder, Smoke, 1&quot;"/>
        <s v="Eldon Executive Woodline II Cherry Finish Desk Accessories"/>
        <s v="Fellowes Strictly Business¨ Drawer File, Letter/Legal Size"/>
        <s v="Xerox 1899"/>
        <s v="Holmes Replacement Filter for HEPA Air Cleaner, Large Room"/>
        <s v="Avery Round Ring Poly Binders"/>
        <s v="Xerox 1929"/>
        <s v="GBC White Gloss Covers, Plain Front"/>
        <s v="i470"/>
        <s v="Cardinal Poly Pocket Divider Pockets for Ring Binders"/>
        <s v="Self-Adhesive Address Labels for Typewriters by Universal"/>
        <s v="TDK 4.7GB DVD+RW"/>
        <s v="Fuji Slim Jewel Case CD-R"/>
        <s v="Avery 494"/>
        <s v="Riverside Palais Royal Lawyers Bookcase, Royale Cherry Finish"/>
        <s v="Avery 504"/>
        <s v="*Staples* Letter Opener"/>
        <s v="While You Were Out Pads, 50 per Pad, 4 x 5 1/4, Green Cycle"/>
        <s v="Fuji 5.2GB DVD-RAM"/>
        <s v="Hon Non-Folding Utility Tables"/>
        <s v="Sanyo 2.5 Cubic Foot Mid-Size Office Refrigerators"/>
        <s v="Xerox 1905"/>
        <s v="StarTAC 7760"/>
        <s v="TDK 4.7GB DVD-R Spindle, 15/Pack"/>
        <s v="Kensington 6 Outlet MasterPiece¨ HOMEOFFICE Power Control Center"/>
        <s v="Large Capacity Hanging Post Binders"/>
        <s v="Fellowes Smart Design 104-Key Enhanced Keyboard, PS/2 Adapter, Platinum"/>
        <s v="Avery Binder Labels"/>
        <s v="Panasonic KP-310 Heavy-Duty Electric Pencil Sharpener"/>
        <s v="Gyration Ultra Professional Cordless Optical Suite"/>
        <s v="Hot File¨ 7-Pocket, Floor Stand"/>
        <s v="Office Star - Mid Back Dual function Ergonomic High Back Chair with 2-Way Adjustable Arms"/>
        <s v="Xerox 212"/>
        <s v="Newell 315"/>
        <s v="iDEN i550"/>
        <s v="Multimedia Mailers"/>
        <s v="Xerox 21"/>
        <s v="Dixon Prang¨ Watercolor Pencils, 10-Color Set with Brush"/>
        <s v="Avery Reinforcements for Hole-Punch Pages"/>
        <s v="Xerox 224"/>
        <s v="Epson C82 Color Inkjet Printer"/>
        <s v="Boston School Pro Electric Pencil Sharpener, 1670"/>
        <s v="Motorola SB4200 Cable Modem"/>
        <s v="IBM 3.5&quot; DS/HD IBM Formatted Diskettes, 50/Pack"/>
        <s v="Accessory39"/>
        <s v="Economy Rollaway Files"/>
        <s v="Nu-Form 106-Key Ergonomic Keyboard w/ Touchpad"/>
        <s v="Artistic Insta-Plaque"/>
        <s v="XtraLife¨ ClearVueª Slant-D¨ Ring Binders by Cardinal"/>
        <s v="Sterling Rubber Bands by Alliance"/>
        <s v="Smead Alpha-Z Color-Coded Name Labels First Letter Starter Set"/>
        <s v="Avery 508"/>
        <s v="Avery Hi-Liter GlideStik Fluorescent Highlighter, Yellow Ink"/>
        <s v="Belkin F5C206VTEL 6 Outlet Surge"/>
        <s v="Xerox 1927"/>
        <s v="Acco PRESSTEX¨ Data Binder with Storage Hooks, Dark Blue, 14 7/8&quot; X 11&quot;"/>
        <s v="Belkin 105-Key Black Keyboard"/>
        <s v="Memorex 4.7GB DVD+R, 3/Pack"/>
        <s v="LX 677"/>
        <s v="Perma STOR-ALLª Hanging File Box, 13 1/8&quot;W x 12 1/4&quot;D x 10 1/2&quot;H"/>
        <s v="Accessory32"/>
        <s v="Global High-Back Leather Tilter, Burgundy"/>
        <s v="Catalog Binders with Expanding Posts"/>
        <s v="Newell 336"/>
        <s v="Computer Printout Paper with Letter-Trim Perforations"/>
        <s v="Eldon¨ 500 Classª Desk Accessories"/>
        <s v="Xerox 1881"/>
        <s v="Acco Pressboard Covers with Storage Hooks, 14 7/8&quot; x 11&quot;, Dark Blue"/>
        <s v="Riverleaf Stik-Withit¨ Designer Note Cubes¨"/>
        <s v="DAX Copper Panel Document Frame, 5 x 7 Size"/>
        <s v="Self-Adhesive Removable Labels"/>
        <s v="Avanti 1.7 Cu. Ft. Refrigerator"/>
        <s v="Storex DuraTech Recycled Plastic Frosted Binders"/>
        <s v="Sanford Liquid Accent Highlighters"/>
        <s v="Xerox 2"/>
        <s v="Acco¨ Hot Clipsª Clips to Go"/>
        <s v="Deflect-o SuperTrayª Unbreakable Stackable Tray, Letter, Black"/>
        <n v="6160"/>
        <s v="Mead 1st Gear 2&quot; Zipper Binder, Asst. Colors"/>
        <s v="Imation 3.5 IBM Formatted Diskettes, 10/Box"/>
        <s v="Eldon Portable Mobile Manager"/>
        <s v="Boston 19500 Mighty Mite Electric Pencil Sharpener"/>
        <s v="Conquestª 14 Commercial Heavy-Duty Upright Vacuum, Collection System, Accessory Kit"/>
        <s v="Eldon Cleatmat Plusª Chair Mats for High Pile Carpets"/>
        <s v="Xerox 213"/>
        <s v="Xerox 1948"/>
        <s v="Avery 49"/>
        <s v="Coloredge Poster Frame"/>
        <s v="Executive Impressions 14&quot; Two-Color Numerals Wall Clock"/>
        <s v="Staples Brown Kraft Recycled Clasp Envelopes"/>
        <s v="Sanford 52201 APSCO Electric Pencil Sharpener"/>
        <s v="Crate-A-Filesª"/>
        <s v="Pressboard Data Binder, Crimson, 12&quot; X 8 1/2&quot;"/>
        <s v="GBC DocuBind P100 Manual Binding Machine"/>
        <s v="Executive Impressions 13&quot; Chairman Wall Clock"/>
        <s v="Master Giant Foot¨ Doorstop, Safety Yellow"/>
        <s v="Wilson Jones¨ Four-Pocket Poly Binders"/>
        <s v="HP Office Paper (20Lb. and 87 Bright)"/>
        <s v="Satellite Sectional Post Binders"/>
        <s v="Tyvek¨ Side-Opening Peel &amp; Seel¨ Expanding Envelopes"/>
        <s v="80 Minute Slim Jewel Case CD-R , 10/Pack - Staples"/>
        <s v="Fellowes 17-key keypad for PS/2 interface"/>
        <s v="Office Star - Contemporary Task Swivel chair with 2-way adjustable arms, Plum"/>
        <s v="Iris Project Case"/>
        <s v="PC Concepts 116 Key Quantum 3000 Keyboard"/>
        <s v="Fellowes Twister Kit, Gray/Clear, 3/pkg"/>
        <s v="Global Leather Task Chair, Black"/>
        <s v="Imation DVD-RAM discs"/>
        <s v="Wirebound Message Forms, Four 2 3/4 x 5 Forms per Page, Pink Paper"/>
        <s v="*Staples* vLetter Openers, 2/Pack"/>
        <s v="Letter Size Cart"/>
        <s v="Wilson Jones Custom Binder Spines &amp; Labels"/>
        <s v="Newell 346"/>
        <s v="Bush Cubix Collection Bookcases, Fully Assembled"/>
        <s v="Sanford Prismacolor¨ Professional Thick Lead Art Pencils, 36-Color Set"/>
        <s v="StarTAC 6500"/>
        <s v="Microsoft Natural Keyboard Elite"/>
        <s v="Belkin 8 Outlet Surge Protector"/>
        <s v="SAFCO PlanMaster Heigh-Adjustable Drafting Table Base, 43w x 30d x 30-37h, Black"/>
        <n v="5180"/>
        <s v="Hon Every-Day¨ Chair Series Swivel Task Chairs"/>
        <s v="Eldon ClusterMat Chair Mat with Cordless Antistatic Protection"/>
        <s v="Accessory8"/>
        <s v="Holmes Replacement Filter for HEPA Air Cleaner, Medium Room"/>
        <s v="Unpadded Memo Slips"/>
        <s v="Canon PC940 Copier"/>
        <s v="HP Office Recycled Paper (20Lb. and 87 Bright)"/>
        <s v="Adams Telephone Message Book W/Dividers/Space For Phone Numbers, 5 1/4&quot;X8 1/2&quot;, 300/Messages"/>
        <s v="Imation 3.5&quot; Unformatted DS/HD Diskettes, 10/Box"/>
        <s v="Xerox 1895"/>
        <s v="Aluminum Document Frame"/>
        <s v="Dixon My First Ticonderoga Pencil, #2"/>
        <s v="Eldon Jumbo ProFileª Portable File Boxes Graphite/Black"/>
        <s v="GBC DocuBind 300 Electric Binding Machine"/>
        <s v="Kensington 6 Outlet Guardian Standard Surge Protector"/>
        <s v="Avery 491"/>
        <s v="Global Airflow Leather Mesh Back Chair, Black"/>
        <s v="Dana Halogen Swing-Arm Architect Lamp"/>
        <s v="Seth Thomas 12&quot; Clock w/ Goldtone Case"/>
        <s v="Accessory21"/>
        <s v="Avery Arch Ring Binders"/>
        <s v="Dual Level, Single-Width Filing Carts"/>
        <s v="Fellowes Personal Hanging Folder Files, Navy"/>
        <s v="Deflect-o RollaMat Studded, Beveled Mat for Medium Pile Carpeting"/>
        <s v="Belkin 325VA UPS Surge Protector, 6'"/>
        <s v="3M Office Air Cleaner"/>
        <s v="Xerox 200"/>
        <s v="Personal Creationsª Ink Jet Cards and Labels"/>
        <s v="Master Caster Door Stop, Brown"/>
        <s v="Avery 514"/>
        <s v="Lexmark Z25 Color Inkjet Printer"/>
        <s v="Xerox 1880"/>
        <s v="Quartet Omega¨ Colored Chalk, 12/Pack"/>
        <s v="Xerox 1966"/>
        <s v="6&quot; Cubicle Wall Clock, Black"/>
        <s v="Wilson Jones Hanging View Binder, White, 1&quot;"/>
        <s v="Imation 3.5&quot; Diskettes, IBM Format, DS/HD, 10/Box, Neon"/>
        <s v="Acme¨ Box Cutter Scissors"/>
        <s v="DAX Solid Wood Frames"/>
        <s v="Tripp Lite Isotel 6 Outlet Surge Protector with Fax/Modem Protection"/>
        <s v="Adams Phone Message Book, 200 Message Capacity, 8 1/16Ó x 11Ó"/>
        <s v="Imation Neon Mac Format Diskettes, 10/Pack"/>
        <s v="Staples Metal Binder Clips"/>
        <s v="Eureka Sanitaire ¨ Multi-Pro Heavy-Duty Upright, Disposable Bags"/>
        <s v="Staples 4 Outlet Surge Protector"/>
        <s v="Fellowes Black Plastic Comb Bindings"/>
        <s v="Multi-Use Personal File Cart and Caster Set, Three Stacking Bins"/>
        <s v="Canon MP25DIII Desktop Whisper-Quiet Printing Calculator"/>
        <s v="GBC VeloBinder Strips"/>
        <s v="Xerox 1938"/>
        <s v="80 Minute CD-R Spindle, 100/Pack - Staples"/>
        <s v="Deflect-o EconoMat Nonstudded, No Bevel Mat"/>
        <s v="Keytronic French Keyboard"/>
        <s v="Accessory24"/>
        <s v="Bretford Rectangular Conference Table Tops"/>
        <s v="GBC Laser Imprintable Binding System Covers, Desert Sand"/>
        <s v="Eldon Advantage¨ Foldable Chair Mats for Low Pile Carpets"/>
        <n v="8260"/>
        <s v="Linden¨ 12&quot; Wall Clock With Oak Frame"/>
        <s v="Brown Kraft Recycled Envelopes"/>
        <s v="Tyvek Interoffice Envelopes, 9 1/2&quot; x 12 1/2&quot;, 100/Box"/>
        <s v="Global Leather Executive Chair"/>
        <s v="O'Sullivan Manor Hill 2-Door Library in Brianna Oak"/>
        <s v="StarTAC 7797"/>
        <s v="Accessory29"/>
        <s v="Xerox 1910"/>
        <s v="Avery 05222 Permanent Self-Adhesive File Folder Labels for Typewriters, on Rolls, White, 250/Roll"/>
        <s v="Southworth 25% Cotton Premium Laser Paper and Envelopes"/>
        <s v="Global Leather Highback Executive Chair with Pneumatic Height Adjustment, Black"/>
        <s v="GBC Standard Plastic Binding Systems Combs"/>
        <s v="Electrix Fluorescent Magnifier Lamps &amp; Weighted Base"/>
        <s v="Avery 51"/>
        <s v="Bevis Round Bullnose 29&quot; High Table Top"/>
        <s v="Tenex B1-RE Series Chair Mats for Low Pile Carpets"/>
        <s v="Novimex Swivel Fabric Task Chair"/>
        <s v="StarTAC 8000"/>
        <s v="Eureka Disposable Bags for Sanitaire¨ Vibra Groomer I¨ Upright Vac"/>
        <s v="Staples Surge Protector 6 outlet"/>
        <s v="Binding Machine Supplies"/>
        <s v="Maxell 3.5&quot; DS/HD IBM-Formatted Diskettes, 10/Pack"/>
        <s v="Okidata ML520 Series Dot Matrix Printers"/>
        <s v="GBC Recycled Regency Composition Covers"/>
        <s v="Serrated Blade or Curved Handle Hand Letter Openers"/>
        <s v="GBC Wire Binding Strips"/>
        <s v="Acco Keyboard-In-A-Box¨"/>
        <s v="Belkin 5 Outlet SurgeMasterª Power Centers"/>
        <s v="Canon P1-DHIII Palm Printing Calculator"/>
        <s v="Boston 16765 Mini Stand Up Battery Pencil Sharpener"/>
        <s v="Peel &amp; Seel¨ Recycled Catalog Envelopes, Brown"/>
        <s v="Trav-L-File Heavy-Duty Shuttle II, Black"/>
        <s v="Black Print Carbonless Snap-Off¨ Rapid Letter, 8 1/2&quot; x 7&quot;"/>
        <s v="Honeywell Enviracaire¨ Portable HEPA Air Cleaner for up to 10 x 16 Room"/>
        <s v="Canon F603 Scientific Calculator"/>
        <s v="Hammermill Color Copier Paper (28Lb. and 96 Bright)"/>
        <s v="Avery 52"/>
        <s v="Keytronic Designer 104- Key Black Keyboard"/>
        <s v="Okidata ML184 Turbo Dot Matrix Printers"/>
        <s v="Ibico Hi-Tech Manual Binding System"/>
        <s v="Tennsco Regal Shelving Units"/>
        <s v="Tennsco Snap-Together Open Shelving Units, Starter Sets and Add-On Units"/>
        <s v="Microsoft Natural Multimedia Keyboard"/>
        <s v="Bravo IIª Megaboss¨ 12-Amp Hard Body Upright, Replacement Belts, 2 Belts per Pack"/>
        <s v="Barrel Sharpener"/>
        <s v="Lexmark Z55se Color Inkjet Printer"/>
        <s v="GBC VeloBinder Electric Binding Machine"/>
        <s v="Bionaire Personal Warm Mist Humidifier/Vaporizer"/>
        <s v="Xerox 1947"/>
        <s v="36X48 HARDFLOOR CHAIRMAT"/>
        <s v="DAX Cubicle Frames - 8x10"/>
        <s v="Staples Wirebound Steno Books, 6&quot; x 9&quot;, 12/Pack"/>
        <s v="Seth Thomas 8 1/2&quot; Cubicle Clock"/>
        <s v="Avery Legal 4-Ring Binder"/>
        <s v="Acme Galleria¨ Hot Forged Steel Scissors with Colored Handles"/>
        <s v="Boston KS Multi-Size Manual Pencil Sharpener"/>
        <s v="Acco Smartsocket¨ Color-Coded Six-Outlet AC Adapter Model Surge Protectors"/>
        <s v="Bevis Boat-Shaped Conference Table"/>
        <s v="Portfile¨ Personal File Boxes"/>
        <s v="Bevis Round Conference Table Top &amp; Single Column Base"/>
        <s v="DS/HD IBM Formatted Diskettes, 200/Pack - Staples"/>
        <s v="O'Sullivan 3-Shelf Heavy-Duty Bookcases"/>
        <s v="Hewlett-Packard 4.7GB DVD+R Discs"/>
        <s v="Xerox 1954"/>
        <s v="Acme Design Line 8&quot; Stainless Steel Bent Scissors w/Champagne Handles, 3-1/8&quot; Cut"/>
        <s v="Xerox 1930"/>
        <s v="V70"/>
        <s v="Eureka Recycled Copy Paper 8 1/2&quot; x 11&quot;, Ream"/>
        <s v="Prismacolor Color Pencil Set"/>
        <s v="Xerox Blank Computer Paper"/>
        <s v="Martin-Yale Premier Letter Opener"/>
        <s v="Tennsco Industrial Shelving"/>
        <s v="Recycled Interoffice Envelopes with String and Button Closure, 10 x 13"/>
        <s v="Acme¨ Preferred Stainless Steel Scissors"/>
        <s v="Imation 3.5&quot; IBM-Formatted Diskettes, 10/Pack"/>
        <s v="Manila Recycled Extra-Heavyweight Clasp Envelopes, 6&quot; x 9&quot;"/>
        <s v="Newell 337"/>
        <s v="Lexmark Z54se Color Inkjet Printer"/>
        <s v="Rubbermaid ClusterMat Chairmats, Mat Size- 66&quot; x 60&quot;, Lip 20&quot; x 11&quot; -90 Degree Angle"/>
        <s v="Presstex Flexible Ring Binders"/>
        <s v="Tenex Personal Self-Stacking Standard File Box, Black/Gray"/>
        <s v="Maxell DVD-RAM Discs"/>
        <s v="Belkin 107-key enhanced keyboard, USB/PS/2 interface"/>
        <s v="Newell 329"/>
        <s v="Carina Mini System Audio Rack, Model AR050B"/>
        <s v="Panasonic KX-P2130 Dot Matrix Printer"/>
        <s v="Avery 479"/>
        <s v="Flat Face Poster Frame"/>
        <s v="Belkin 7 Outlet SurgeMaster Surge Protector with Phone Protection"/>
        <s v="Seth Thomas 14&quot; Putty-Colored Wall Clock"/>
        <s v="It's Hot Message Books with Stickers, 2 3/4&quot; x 5&quot;"/>
        <n v="232"/>
        <s v="Acco Suede Grain Vinyl Round Ring Binder"/>
        <s v="Avery 497"/>
        <s v="Belkin ErgoBoardª Keyboard"/>
        <s v="Xerox 214"/>
        <s v="Eldon Radial Chair Mat for Low to Medium Pile Carpets"/>
        <s v="Staples Copy Paper (20Lb. and 84 Bright)"/>
        <s v="Memorex 80 Minute CD-R Spindle, 100/Pack"/>
        <s v="1726 Digital Answering Machine"/>
        <s v="Global Leather and Oak Executive Chair, Black"/>
        <s v="Space Solutionsª Industrial Galvanized Steel Shelving."/>
        <s v="*Staples* Highlighting Markers"/>
        <s v="Global Enterpriseª Series Seating Low-Back Swivel/Tilt Chairs"/>
        <s v="Verbatim DVD-RAM, 5.2GB, Rewritable, Type 1, DS"/>
        <s v="Snap-A-Way¨ Black Print Carbonless Ruled Speed Letter, Triplicate"/>
        <s v="Xerox 1985"/>
        <s v="Accessory34"/>
        <s v="Eldon¨ 300 Classª Desk Accessories, Black"/>
        <s v="Avery Trapezoid Extra Heavy Duty 4&quot; Binders"/>
        <s v="StarTAC ST7762"/>
        <s v="Boston Model 1800 Electric Pencil Sharpener, Gray"/>
        <s v="Hewlett-Packard Deskjet 6122 Color Inkjet Printer"/>
        <s v="Xerox 1978"/>
        <s v="Hewlett-Packard 2600DN Business Color Inkjet Printer"/>
        <s v="Fellowes Officewareª Wire Shelving"/>
        <s v="Canon Image Class D660 Copier"/>
        <s v="Global Stack Chair without Arms, Black"/>
        <s v="Boston Electric Pencil Sharpener, Model 1818, Charcoal Black"/>
        <s v="StarTAC ST7868"/>
        <s v="Fellowes Smart Surge Ten-Outlet Protector, Platinum"/>
        <s v="Atlantic Metals Mobile 5-Shelf Bookcases, Custom Colors"/>
        <s v="Belkin MediaBoard 104- Keyboard"/>
        <n v="2180"/>
        <s v="Staples Gold Paper Clips"/>
        <s v="GE 4 Foot Flourescent Tube, 40 Watt"/>
        <s v="Magna Visual Magnetic Picture Hangers"/>
        <s v="Hon Pagodaª Stacking Chairs"/>
        <s v="Wausau Papers Astrobrights¨ Colored Envelopes"/>
        <s v="Bretford CR8500 Series Meeting Room Furniture"/>
        <s v="Xerox 23"/>
        <s v="OIC Thumb-Tacks"/>
        <s v="Global Deluxe Office Fabric Chairs"/>
        <s v="Array¨ Memo Cubes"/>
        <s v="Home/Office Personal File Carts"/>
        <s v="Office Star Flex Back Scooter Chair with White Frame"/>
        <s v="Tripp Lite Isotel 8 Ultra 8 Outlet Metal Surge"/>
        <s v="Southworth Structures Collectionª"/>
        <s v="Avanti 4.4 Cu. Ft. Refrigerator"/>
        <s v="Space Solutions Commercial Steel Shelving"/>
        <s v="Fiskars¨ Softgrip Scissors"/>
        <s v="Accessory28"/>
        <s v="Sauder Forest Hills Library, Woodland Oak Finish"/>
        <s v="Avery Flip-Chart Easel Binder, Black"/>
        <s v="Xerox 1951"/>
        <s v="Eldon¨ 400 Classª Desk Accessories, Black Carbon"/>
        <s v="Howard Miller 12-3/4 Diameter Accuwave DS ª Wall Clock"/>
        <s v="Telephone Message Books with Fax/Mobile Section, 4 1/4&quot; x 6&quot;"/>
        <s v="Howard Miller 13&quot; Diameter Goldtone Round Wall Clock"/>
        <s v="Acme¨ Office Executive Series Stainless Steel Trimmers"/>
        <s v="Avery Durable Poly Binders"/>
        <s v="Speediset Carbonless Redi-Letter¨ 7&quot; x 8 1/2&quot;"/>
        <s v="Self-Adhesive Ring Binder Labels"/>
        <s v="Colored Envelopes"/>
        <s v="V 3600 Series"/>
        <s v="Fellowes Super Stor/Drawer¨"/>
        <s v="Newell 312"/>
        <s v="Polycom ViaVideoª Desktop Video Communications Unit"/>
        <s v="Boston 1730 StandUp Electric Pencil Sharpener"/>
        <s v="Storex Dura Proª Binders"/>
        <s v="Wirebound Service Call Books, 5 1/2&quot; x 4&quot;"/>
        <s v="Deflect-O¨ Glasstiqueª Clear Desk Accessories"/>
        <s v="BASF Silver 74 Minute CD-R"/>
        <s v="Keytronic 105-Key Spanish Keyboard"/>
        <s v="O'Sullivan 5-Shelf Heavy-Duty Bookcases"/>
        <s v="Xerox 1885"/>
        <s v="Xerox 1993"/>
        <s v="Fellowes Basic 104-Key Keyboard, Platinum"/>
        <s v="Staples Paper Clips"/>
        <s v="Crayola Anti Dust Chalk, 12/Pack"/>
        <s v="Canon PC-428 Personal Copier"/>
        <s v="Avery¨ Durable Plastic 1&quot; Binders"/>
        <s v="Berol Giant Pencil Sharpener"/>
        <s v="Lesro Sheffield Collection Coffee Table, End Table, Center Table, Corner Table"/>
        <s v="Safco Value Mate Steel Bookcase, Baked Enamel Finish on Steel, Black"/>
        <s v="GBC Twin Loopª Wire Binding Elements, 9/16&quot; Spine, Black"/>
        <s v="Fellowes Mobile Numeric Keypad, Graphite"/>
        <s v="Wilson Jones Elliptical Ring 3 1/2&quot; Capacity Binders, 800 sheets"/>
        <s v="KF 788"/>
        <s v="Xerox 1894"/>
        <s v="Tensor &quot;Hersey Kiss&quot; Styled Floor Lamp"/>
        <s v="Avery Self-Adhesive Photo Pockets for Polaroid Photos"/>
        <s v="Epson DFX5000+ Dot Matrix Printer"/>
        <s v="DAX Contemporary Wood Frame with Silver Metal Mat, Desktop, 11 x 14 Size"/>
        <s v="Acco Pressboard Covers with Storage Hooks, 14 7/8&quot; x 11&quot;, Light Blue"/>
        <s v="Avery Non-Stick Binders"/>
        <s v="Accessory9"/>
        <s v="Adams Write n' Stick Phone Message Book, 11&quot; X 5 1/4&quot;, 200 Messages"/>
        <n v="2190"/>
        <s v="Hon Olson Stacker Stools"/>
        <s v="DAX Two-Tone Rosewood/Black Document Frame, Desktop, 5 x 7"/>
        <s v="SouthWestern Bell FA970 Digital Answering Machine with Time/Day Stamp"/>
        <s v="Panasonic KX-P3626 Dot Matrix Printer"/>
      </sharedItems>
    </cacheField>
    <cacheField name="Product Container" numFmtId="0">
      <sharedItems/>
    </cacheField>
    <cacheField name="Base_Margin" numFmtId="0">
      <sharedItems containsString="0" containsBlank="1" containsNumber="1" minValue="0.35" maxValue="0.85"/>
    </cacheField>
    <cacheField name="Ship Date" numFmtId="14">
      <sharedItems containsSemiMixedTypes="0" containsNonDate="0" containsDate="1" containsString="0" minDate="2009-01-04T00:00:00" maxDate="2012-12-30T00:00:00"/>
    </cacheField>
    <cacheField name="Months (Order_Date)" numFmtId="0" databaseField="0">
      <fieldGroup base="2">
        <rangePr groupBy="months" startDate="2009-01-03T00:00:00" endDate="2012-12-28T00:00:00"/>
        <groupItems count="14">
          <s v="&lt;03-01-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2-2012"/>
        </groupItems>
      </fieldGroup>
    </cacheField>
    <cacheField name="Quarters (Order_Date)" numFmtId="0" databaseField="0">
      <fieldGroup base="2">
        <rangePr groupBy="quarters" startDate="2009-01-03T00:00:00" endDate="2012-12-28T00:00:00"/>
        <groupItems count="6">
          <s v="&lt;03-01-2009"/>
          <s v="Qtr1"/>
          <s v="Qtr2"/>
          <s v="Qtr3"/>
          <s v="Qtr4"/>
          <s v="&gt;28-12-2012"/>
        </groupItems>
      </fieldGroup>
    </cacheField>
    <cacheField name="Years (Order_Date)" numFmtId="0" databaseField="0">
      <fieldGroup base="2">
        <rangePr groupBy="years" startDate="2009-01-03T00:00:00" endDate="2012-12-28T00:00:00"/>
        <groupItems count="6">
          <s v="&lt;03-01-2009"/>
          <s v="2009"/>
          <s v="2010"/>
          <s v="2011"/>
          <s v="2012"/>
          <s v="&gt;28-12-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3">
  <r>
    <n v="1"/>
    <n v="3"/>
    <x v="0"/>
    <x v="0"/>
    <n v="6"/>
    <x v="0"/>
    <n v="0.04"/>
    <s v="Regular Air"/>
    <n v="-213.25"/>
    <n v="38.94"/>
    <n v="35"/>
    <x v="0"/>
    <s v="Nunavut"/>
    <x v="0"/>
    <x v="0"/>
    <x v="0"/>
    <s v="Storage &amp; Organization"/>
    <x v="0"/>
    <s v="Large Box"/>
    <n v="0.8"/>
    <d v="2010-10-20T00:00:00"/>
  </r>
  <r>
    <n v="2"/>
    <n v="6"/>
    <x v="1"/>
    <x v="1"/>
    <n v="2"/>
    <x v="1"/>
    <n v="0.01"/>
    <s v="Regular Air"/>
    <n v="-4.6399999999999997"/>
    <n v="2.08"/>
    <n v="2.56"/>
    <x v="1"/>
    <s v="Alberta"/>
    <x v="1"/>
    <x v="1"/>
    <x v="0"/>
    <s v="Scissors, Rulers and Trimmers"/>
    <x v="1"/>
    <s v="Small Pack"/>
    <n v="0.55000000000000004"/>
    <d v="2012-02-21T00:00:00"/>
  </r>
  <r>
    <n v="3"/>
    <n v="32"/>
    <x v="2"/>
    <x v="2"/>
    <n v="26"/>
    <x v="2"/>
    <n v="7.0000000000000007E-2"/>
    <s v="Regular Air"/>
    <n v="1054.82"/>
    <n v="107.53"/>
    <n v="5.81"/>
    <x v="2"/>
    <s v="Alberta"/>
    <x v="1"/>
    <x v="1"/>
    <x v="1"/>
    <s v="Office Furnishings"/>
    <x v="2"/>
    <s v="Medium Box"/>
    <n v="0.65"/>
    <d v="2011-07-17T00:00:00"/>
  </r>
  <r>
    <n v="7"/>
    <n v="35"/>
    <x v="3"/>
    <x v="1"/>
    <n v="30"/>
    <x v="3"/>
    <n v="0.03"/>
    <s v="Regular Air"/>
    <n v="60.72"/>
    <n v="9.11"/>
    <n v="2.25"/>
    <x v="3"/>
    <s v="British Columbia"/>
    <x v="1"/>
    <x v="1"/>
    <x v="0"/>
    <s v="Pens &amp; Art Supplies"/>
    <x v="3"/>
    <s v="Wrap Bag"/>
    <n v="0.52"/>
    <d v="2011-10-23T00:00:00"/>
  </r>
  <r>
    <n v="9"/>
    <n v="36"/>
    <x v="4"/>
    <x v="3"/>
    <n v="46"/>
    <x v="4"/>
    <n v="0.1"/>
    <s v="Regular Air"/>
    <n v="657.48"/>
    <n v="65.989999999999995"/>
    <n v="4.2"/>
    <x v="4"/>
    <s v="Alberta"/>
    <x v="1"/>
    <x v="2"/>
    <x v="2"/>
    <s v="Telephones and Communication"/>
    <x v="4"/>
    <s v="Small Box"/>
    <n v="0.55000000000000004"/>
    <d v="2011-11-02T00:00:00"/>
  </r>
  <r>
    <n v="10"/>
    <n v="65"/>
    <x v="5"/>
    <x v="3"/>
    <n v="32"/>
    <x v="5"/>
    <n v="0.02"/>
    <s v="Regular Air"/>
    <n v="1470.3"/>
    <n v="115.79"/>
    <n v="1.99"/>
    <x v="5"/>
    <s v="Ontario"/>
    <x v="2"/>
    <x v="1"/>
    <x v="2"/>
    <s v="Computer Peripherals"/>
    <x v="5"/>
    <s v="Small Pack"/>
    <n v="0.49"/>
    <d v="2011-03-18T00:00:00"/>
  </r>
  <r>
    <n v="11"/>
    <n v="66"/>
    <x v="6"/>
    <x v="0"/>
    <n v="41"/>
    <x v="6"/>
    <n v="0.09"/>
    <s v="Regular Air"/>
    <n v="7.57"/>
    <n v="2.88"/>
    <n v="0.7"/>
    <x v="6"/>
    <s v="Alberta"/>
    <x v="1"/>
    <x v="3"/>
    <x v="0"/>
    <s v="Pens &amp; Art Supplies"/>
    <x v="6"/>
    <s v="Wrap Bag"/>
    <n v="0.56000000000000005"/>
    <d v="2009-01-19T00:00:00"/>
  </r>
  <r>
    <n v="12"/>
    <n v="69"/>
    <x v="7"/>
    <x v="1"/>
    <n v="42"/>
    <x v="7"/>
    <n v="0.09"/>
    <s v="Regular Air"/>
    <n v="511.69"/>
    <n v="30.93"/>
    <n v="3.92"/>
    <x v="7"/>
    <s v="Saskachewan"/>
    <x v="3"/>
    <x v="1"/>
    <x v="1"/>
    <s v="Office Furnishings"/>
    <x v="7"/>
    <s v="Small Pack"/>
    <n v="0.44"/>
    <d v="2009-06-05T00:00:00"/>
  </r>
  <r>
    <n v="14"/>
    <n v="70"/>
    <x v="8"/>
    <x v="0"/>
    <n v="48"/>
    <x v="8"/>
    <n v="0.03"/>
    <s v="Regular Air"/>
    <n v="-107"/>
    <n v="1.86"/>
    <n v="2.58"/>
    <x v="8"/>
    <s v="Quebec"/>
    <x v="4"/>
    <x v="2"/>
    <x v="0"/>
    <s v="Rubber Bands"/>
    <x v="8"/>
    <s v="Wrap Bag"/>
    <n v="0.82"/>
    <d v="2010-12-22T00:00:00"/>
  </r>
  <r>
    <n v="16"/>
    <n v="96"/>
    <x v="9"/>
    <x v="2"/>
    <n v="37"/>
    <x v="9"/>
    <n v="0.01"/>
    <s v="Regular Air"/>
    <n v="1228.8900000000001"/>
    <n v="125.99"/>
    <n v="8.99"/>
    <x v="9"/>
    <s v="Manitoba"/>
    <x v="3"/>
    <x v="2"/>
    <x v="2"/>
    <s v="Telephones and Communication"/>
    <x v="9"/>
    <s v="Small Box"/>
    <n v="0.55000000000000004"/>
    <d v="2009-04-18T00:00:00"/>
  </r>
  <r>
    <n v="17"/>
    <n v="97"/>
    <x v="10"/>
    <x v="4"/>
    <n v="26"/>
    <x v="10"/>
    <n v="0.03"/>
    <s v="Regular Air"/>
    <n v="28.24"/>
    <n v="2.89"/>
    <n v="0.5"/>
    <x v="10"/>
    <s v="Yukon"/>
    <x v="5"/>
    <x v="3"/>
    <x v="0"/>
    <s v="Labels"/>
    <x v="10"/>
    <s v="Small Box"/>
    <n v="0.38"/>
    <d v="2010-01-29T00:00:00"/>
  </r>
  <r>
    <n v="18"/>
    <n v="129"/>
    <x v="11"/>
    <x v="0"/>
    <n v="4"/>
    <x v="11"/>
    <n v="0.09"/>
    <s v="Regular Air"/>
    <n v="-22.59"/>
    <n v="6.48"/>
    <n v="8.19"/>
    <x v="11"/>
    <s v="Ontario"/>
    <x v="2"/>
    <x v="1"/>
    <x v="0"/>
    <s v="Paper"/>
    <x v="11"/>
    <s v="Small Box"/>
    <n v="0.37"/>
    <d v="2012-11-27T00:00:00"/>
  </r>
  <r>
    <n v="19"/>
    <n v="130"/>
    <x v="12"/>
    <x v="2"/>
    <n v="3"/>
    <x v="12"/>
    <n v="0.05"/>
    <s v="Express Air"/>
    <n v="-309.82"/>
    <n v="150.97999999999999"/>
    <n v="13.99"/>
    <x v="12"/>
    <s v="Saskachewan"/>
    <x v="3"/>
    <x v="1"/>
    <x v="2"/>
    <s v="Office Machines"/>
    <x v="12"/>
    <s v="Medium Box"/>
    <n v="0.38"/>
    <d v="2012-05-09T00:00:00"/>
  </r>
  <r>
    <n v="22"/>
    <n v="132"/>
    <x v="13"/>
    <x v="4"/>
    <n v="27"/>
    <x v="13"/>
    <n v="0.03"/>
    <s v="Regular Air"/>
    <n v="-86.2"/>
    <n v="7.99"/>
    <n v="5.03"/>
    <x v="13"/>
    <s v="Quebec"/>
    <x v="4"/>
    <x v="3"/>
    <x v="2"/>
    <s v="Telephones and Communication"/>
    <x v="13"/>
    <s v="Medium Box"/>
    <n v="0.6"/>
    <d v="2010-06-11T00:00:00"/>
  </r>
  <r>
    <n v="24"/>
    <n v="134"/>
    <x v="14"/>
    <x v="1"/>
    <n v="11"/>
    <x v="14"/>
    <n v="0.01"/>
    <s v="Regular Air"/>
    <n v="-310.20999999999998"/>
    <n v="95.99"/>
    <n v="35"/>
    <x v="14"/>
    <s v="Ontario"/>
    <x v="2"/>
    <x v="2"/>
    <x v="0"/>
    <s v="Storage &amp; Organization"/>
    <x v="14"/>
    <s v="Large Box"/>
    <m/>
    <d v="2012-05-02T00:00:00"/>
  </r>
  <r>
    <n v="25"/>
    <n v="135"/>
    <x v="15"/>
    <x v="1"/>
    <n v="25"/>
    <x v="15"/>
    <n v="0.09"/>
    <s v="Regular Air"/>
    <n v="-89.25"/>
    <n v="4.9800000000000004"/>
    <n v="4.62"/>
    <x v="15"/>
    <s v="Quebec"/>
    <x v="4"/>
    <x v="3"/>
    <x v="2"/>
    <s v="Computer Peripherals"/>
    <x v="15"/>
    <s v="Small Pack"/>
    <n v="0.64"/>
    <d v="2011-10-22T00:00:00"/>
  </r>
  <r>
    <n v="26"/>
    <n v="166"/>
    <x v="16"/>
    <x v="2"/>
    <n v="10"/>
    <x v="16"/>
    <n v="0.02"/>
    <s v="Express Air"/>
    <n v="-126.09"/>
    <n v="65.989999999999995"/>
    <n v="8.99"/>
    <x v="16"/>
    <s v="Manitoba"/>
    <x v="3"/>
    <x v="3"/>
    <x v="2"/>
    <s v="Telephones and Communication"/>
    <x v="16"/>
    <s v="Small Box"/>
    <n v="0.55000000000000004"/>
    <d v="2011-09-13T00:00:00"/>
  </r>
  <r>
    <n v="27"/>
    <n v="193"/>
    <x v="17"/>
    <x v="3"/>
    <n v="14"/>
    <x v="17"/>
    <n v="0.06"/>
    <s v="Regular Air"/>
    <n v="-37.04"/>
    <n v="12.44"/>
    <n v="6.27"/>
    <x v="17"/>
    <s v="Quebec"/>
    <x v="4"/>
    <x v="3"/>
    <x v="0"/>
    <s v="Storage &amp; Organization"/>
    <x v="17"/>
    <s v="Medium Box"/>
    <n v="0.56999999999999995"/>
    <d v="2010-08-09T00:00:00"/>
  </r>
  <r>
    <n v="28"/>
    <n v="194"/>
    <x v="18"/>
    <x v="4"/>
    <n v="49"/>
    <x v="18"/>
    <n v="0.1"/>
    <s v="Regular Air"/>
    <n v="-197.25"/>
    <n v="7.28"/>
    <n v="7.98"/>
    <x v="18"/>
    <s v="Alberta"/>
    <x v="1"/>
    <x v="1"/>
    <x v="1"/>
    <s v="Office Furnishings"/>
    <x v="18"/>
    <s v="Wrap Bag"/>
    <n v="0.42"/>
    <d v="2012-04-06T00:00:00"/>
  </r>
  <r>
    <n v="30"/>
    <n v="195"/>
    <x v="19"/>
    <x v="4"/>
    <n v="34"/>
    <x v="19"/>
    <n v="0.03"/>
    <s v="Regular Air"/>
    <n v="260.87"/>
    <n v="36.549999999999997"/>
    <n v="13.89"/>
    <x v="19"/>
    <s v="Yukon"/>
    <x v="5"/>
    <x v="2"/>
    <x v="0"/>
    <s v="Pens &amp; Art Supplies"/>
    <x v="19"/>
    <s v="Wrap Bag"/>
    <n v="0.41"/>
    <d v="2010-12-29T00:00:00"/>
  </r>
  <r>
    <n v="31"/>
    <n v="197"/>
    <x v="20"/>
    <x v="2"/>
    <n v="23"/>
    <x v="20"/>
    <n v="0.01"/>
    <s v="Regular Air"/>
    <n v="33.22"/>
    <n v="12.98"/>
    <n v="3.14"/>
    <x v="20"/>
    <s v="Manitoba"/>
    <x v="3"/>
    <x v="2"/>
    <x v="0"/>
    <s v="Scissors, Rulers and Trimmers"/>
    <x v="20"/>
    <s v="Small Pack"/>
    <n v="0.6"/>
    <d v="2011-04-08T00:00:00"/>
  </r>
  <r>
    <n v="32"/>
    <n v="224"/>
    <x v="21"/>
    <x v="1"/>
    <n v="25"/>
    <x v="21"/>
    <n v="0.09"/>
    <s v="Regular Air"/>
    <n v="-33.950000000000003"/>
    <n v="7.38"/>
    <n v="5.21"/>
    <x v="21"/>
    <s v="Yukon"/>
    <x v="5"/>
    <x v="1"/>
    <x v="1"/>
    <s v="Office Furnishings"/>
    <x v="21"/>
    <s v="Small Box"/>
    <n v="0.56000000000000005"/>
    <d v="2009-06-18T00:00:00"/>
  </r>
  <r>
    <n v="35"/>
    <n v="225"/>
    <x v="22"/>
    <x v="3"/>
    <n v="24"/>
    <x v="22"/>
    <n v="0.06"/>
    <s v="Regular Air"/>
    <n v="18.27"/>
    <n v="5.58"/>
    <n v="0.7"/>
    <x v="22"/>
    <s v="Quebec"/>
    <x v="4"/>
    <x v="2"/>
    <x v="0"/>
    <s v="Pens &amp; Art Supplies"/>
    <x v="22"/>
    <s v="Wrap Bag"/>
    <n v="0.6"/>
    <d v="2011-05-25T00:00:00"/>
  </r>
  <r>
    <n v="37"/>
    <n v="229"/>
    <x v="23"/>
    <x v="3"/>
    <n v="43"/>
    <x v="23"/>
    <n v="0.11"/>
    <s v="Regular Air"/>
    <n v="98.44"/>
    <n v="12.64"/>
    <n v="4.9800000000000004"/>
    <x v="23"/>
    <s v="Nova Scotia"/>
    <x v="6"/>
    <x v="3"/>
    <x v="1"/>
    <s v="Office Furnishings"/>
    <x v="23"/>
    <s v="Small Pack"/>
    <n v="0.48"/>
    <d v="2010-12-30T00:00:00"/>
  </r>
  <r>
    <n v="39"/>
    <n v="230"/>
    <x v="24"/>
    <x v="3"/>
    <n v="47"/>
    <x v="24"/>
    <n v="0.06"/>
    <s v="Regular Air"/>
    <n v="320.37"/>
    <n v="43.98"/>
    <n v="8.99"/>
    <x v="24"/>
    <s v="Ontario"/>
    <x v="2"/>
    <x v="1"/>
    <x v="0"/>
    <s v="Pens &amp; Art Supplies"/>
    <x v="24"/>
    <s v="Small Pack"/>
    <n v="0.57999999999999996"/>
    <d v="2010-10-28T00:00:00"/>
  </r>
  <r>
    <n v="41"/>
    <n v="231"/>
    <x v="25"/>
    <x v="2"/>
    <n v="2"/>
    <x v="25"/>
    <n v="0.06"/>
    <s v="Regular Air"/>
    <n v="-490.84"/>
    <n v="363.25"/>
    <n v="19.989999999999998"/>
    <x v="25"/>
    <s v="Manitoba"/>
    <x v="3"/>
    <x v="0"/>
    <x v="0"/>
    <s v="Appliances"/>
    <x v="25"/>
    <s v="Small Box"/>
    <n v="0.56999999999999995"/>
    <d v="2009-09-30T00:00:00"/>
  </r>
  <r>
    <n v="42"/>
    <n v="258"/>
    <x v="23"/>
    <x v="3"/>
    <n v="21"/>
    <x v="26"/>
    <n v="0"/>
    <s v="Regular Air"/>
    <n v="-91.14"/>
    <n v="6.48"/>
    <n v="8.74"/>
    <x v="26"/>
    <s v="Nova Scotia"/>
    <x v="6"/>
    <x v="2"/>
    <x v="0"/>
    <s v="Paper"/>
    <x v="26"/>
    <s v="Small Box"/>
    <n v="0.36"/>
    <d v="2010-12-30T00:00:00"/>
  </r>
  <r>
    <n v="45"/>
    <n v="261"/>
    <x v="26"/>
    <x v="4"/>
    <n v="47"/>
    <x v="27"/>
    <n v="0.04"/>
    <s v="Regular Air"/>
    <n v="1680.79"/>
    <n v="140.99"/>
    <n v="4.2"/>
    <x v="27"/>
    <s v="British Columbia"/>
    <x v="1"/>
    <x v="0"/>
    <x v="2"/>
    <s v="Telephones and Communication"/>
    <x v="27"/>
    <s v="Small Box"/>
    <n v="0.59"/>
    <d v="2010-06-29T00:00:00"/>
  </r>
  <r>
    <n v="46"/>
    <n v="263"/>
    <x v="27"/>
    <x v="2"/>
    <n v="25"/>
    <x v="28"/>
    <n v="0.09"/>
    <s v="Regular Air"/>
    <n v="-136.25"/>
    <n v="5.4"/>
    <n v="7.78"/>
    <x v="28"/>
    <s v="Yukon"/>
    <x v="5"/>
    <x v="1"/>
    <x v="0"/>
    <s v="Binders and Binder Accessories"/>
    <x v="28"/>
    <s v="Small Box"/>
    <n v="0.37"/>
    <d v="2009-05-17T00:00:00"/>
  </r>
  <r>
    <n v="47"/>
    <n v="290"/>
    <x v="28"/>
    <x v="1"/>
    <n v="24"/>
    <x v="29"/>
    <n v="0.05"/>
    <s v="Regular Air"/>
    <n v="-32.479999999999997"/>
    <n v="7.64"/>
    <n v="5.83"/>
    <x v="29"/>
    <s v="Quebec"/>
    <x v="4"/>
    <x v="2"/>
    <x v="0"/>
    <s v="Paper"/>
    <x v="29"/>
    <s v="Wrap Bag"/>
    <n v="0.36"/>
    <d v="2009-01-06T00:00:00"/>
  </r>
  <r>
    <n v="49"/>
    <n v="293"/>
    <x v="29"/>
    <x v="2"/>
    <n v="49"/>
    <x v="30"/>
    <n v="7.0000000000000007E-2"/>
    <s v="Delivery Truck"/>
    <n v="457.81"/>
    <n v="208.16"/>
    <n v="68.02"/>
    <x v="30"/>
    <s v="Nunavut"/>
    <x v="0"/>
    <x v="3"/>
    <x v="0"/>
    <s v="Appliances"/>
    <x v="30"/>
    <s v="Jumbo Drum"/>
    <n v="0.57999999999999996"/>
    <d v="2012-10-02T00:00:00"/>
  </r>
  <r>
    <n v="51"/>
    <n v="294"/>
    <x v="30"/>
    <x v="4"/>
    <n v="35"/>
    <x v="31"/>
    <n v="0.06"/>
    <s v="Regular Air"/>
    <n v="489.02"/>
    <n v="193.17"/>
    <n v="19.989999999999998"/>
    <x v="31"/>
    <s v="British Columbia"/>
    <x v="1"/>
    <x v="2"/>
    <x v="0"/>
    <s v="Storage &amp; Organization"/>
    <x v="31"/>
    <s v="Small Box"/>
    <n v="0.71"/>
    <d v="2010-07-16T00:00:00"/>
  </r>
  <r>
    <n v="52"/>
    <n v="322"/>
    <x v="31"/>
    <x v="3"/>
    <n v="20"/>
    <x v="32"/>
    <n v="0.08"/>
    <s v="Regular Air"/>
    <n v="257.76"/>
    <n v="155.99"/>
    <n v="8.08"/>
    <x v="32"/>
    <s v="British Columbia"/>
    <x v="1"/>
    <x v="1"/>
    <x v="2"/>
    <s v="Telephones and Communication"/>
    <x v="32"/>
    <s v="Small Box"/>
    <n v="0.6"/>
    <d v="2012-03-20T00:00:00"/>
  </r>
  <r>
    <n v="54"/>
    <n v="323"/>
    <x v="32"/>
    <x v="3"/>
    <n v="20"/>
    <x v="33"/>
    <n v="7.0000000000000007E-2"/>
    <s v="Regular Air"/>
    <n v="25.76"/>
    <n v="5.68"/>
    <n v="1.39"/>
    <x v="33"/>
    <s v="Yukon"/>
    <x v="5"/>
    <x v="0"/>
    <x v="0"/>
    <s v="Envelopes"/>
    <x v="33"/>
    <s v="Small Box"/>
    <n v="0.38"/>
    <d v="2009-03-27T00:00:00"/>
  </r>
  <r>
    <n v="56"/>
    <n v="324"/>
    <x v="33"/>
    <x v="3"/>
    <n v="25"/>
    <x v="34"/>
    <n v="0.02"/>
    <s v="Regular Air"/>
    <n v="667.33"/>
    <n v="179.99"/>
    <n v="13.99"/>
    <x v="34"/>
    <s v="Saskachewan"/>
    <x v="3"/>
    <x v="0"/>
    <x v="2"/>
    <s v="Telephones and Communication"/>
    <x v="34"/>
    <s v="Medium Box"/>
    <n v="0.56999999999999995"/>
    <d v="2012-03-21T00:00:00"/>
  </r>
  <r>
    <n v="58"/>
    <n v="326"/>
    <x v="34"/>
    <x v="2"/>
    <n v="34"/>
    <x v="35"/>
    <n v="0.03"/>
    <s v="Regular Air"/>
    <n v="-44.14"/>
    <n v="5.99"/>
    <n v="4.92"/>
    <x v="35"/>
    <s v="Quebec"/>
    <x v="4"/>
    <x v="3"/>
    <x v="0"/>
    <s v="Binders and Binder Accessories"/>
    <x v="35"/>
    <s v="Small Box"/>
    <n v="0.38"/>
    <d v="2011-06-04T00:00:00"/>
  </r>
  <r>
    <n v="60"/>
    <n v="353"/>
    <x v="35"/>
    <x v="0"/>
    <n v="21"/>
    <x v="36"/>
    <n v="0.02"/>
    <s v="Regular Air"/>
    <n v="3.88"/>
    <n v="2.21"/>
    <n v="1"/>
    <x v="36"/>
    <s v="Yukon"/>
    <x v="5"/>
    <x v="2"/>
    <x v="0"/>
    <s v="Pens &amp; Art Supplies"/>
    <x v="36"/>
    <s v="Wrap Bag"/>
    <n v="0.38"/>
    <d v="2011-04-01T00:00:00"/>
  </r>
  <r>
    <n v="61"/>
    <n v="355"/>
    <x v="36"/>
    <x v="0"/>
    <n v="16"/>
    <x v="37"/>
    <n v="0"/>
    <s v="Regular Air"/>
    <n v="-172.55"/>
    <n v="85.99"/>
    <n v="0.99"/>
    <x v="37"/>
    <s v="Ontario"/>
    <x v="2"/>
    <x v="0"/>
    <x v="2"/>
    <s v="Telephones and Communication"/>
    <x v="37"/>
    <s v="Wrap Bag"/>
    <n v="0.85"/>
    <d v="2009-06-18T00:00:00"/>
  </r>
  <r>
    <n v="62"/>
    <n v="358"/>
    <x v="37"/>
    <x v="2"/>
    <n v="33"/>
    <x v="38"/>
    <n v="0.02"/>
    <s v="Delivery Truck"/>
    <n v="-1348.06"/>
    <n v="48.58"/>
    <n v="54.11"/>
    <x v="38"/>
    <s v="Alberta"/>
    <x v="1"/>
    <x v="1"/>
    <x v="1"/>
    <s v="Bookcases"/>
    <x v="38"/>
    <s v="Jumbo Box"/>
    <n v="0.69"/>
    <d v="2010-09-21T00:00:00"/>
  </r>
  <r>
    <n v="64"/>
    <n v="359"/>
    <x v="38"/>
    <x v="4"/>
    <n v="30"/>
    <x v="39"/>
    <n v="0.08"/>
    <s v="Delivery Truck"/>
    <n v="-500.38"/>
    <n v="124.49"/>
    <n v="51.94"/>
    <x v="39"/>
    <s v="Alberta"/>
    <x v="1"/>
    <x v="1"/>
    <x v="1"/>
    <s v="Tables"/>
    <x v="39"/>
    <s v="Jumbo Box"/>
    <n v="0.63"/>
    <d v="2009-12-19T00:00:00"/>
  </r>
  <r>
    <n v="65"/>
    <n v="384"/>
    <x v="39"/>
    <x v="0"/>
    <n v="50"/>
    <x v="40"/>
    <n v="0.02"/>
    <s v="Delivery Truck"/>
    <n v="-1820.84"/>
    <n v="146.05000000000001"/>
    <n v="80.2"/>
    <x v="40"/>
    <s v="Alberta"/>
    <x v="1"/>
    <x v="1"/>
    <x v="1"/>
    <s v="Tables"/>
    <x v="40"/>
    <s v="Jumbo Box"/>
    <n v="0.71"/>
    <d v="2012-03-09T00:00:00"/>
  </r>
  <r>
    <n v="66"/>
    <n v="386"/>
    <x v="40"/>
    <x v="2"/>
    <n v="4"/>
    <x v="41"/>
    <n v="0.02"/>
    <s v="Regular Air"/>
    <n v="-0.03"/>
    <n v="3.69"/>
    <n v="0.5"/>
    <x v="41"/>
    <s v="Ontario"/>
    <x v="2"/>
    <x v="1"/>
    <x v="0"/>
    <s v="Labels"/>
    <x v="41"/>
    <s v="Small Box"/>
    <n v="0.38"/>
    <d v="2011-01-26T00:00:00"/>
  </r>
  <r>
    <n v="68"/>
    <n v="388"/>
    <x v="41"/>
    <x v="1"/>
    <n v="46"/>
    <x v="42"/>
    <n v="0.06"/>
    <s v="Regular Air"/>
    <n v="-94.73"/>
    <n v="11.7"/>
    <n v="6.96"/>
    <x v="42"/>
    <s v="Ontario"/>
    <x v="2"/>
    <x v="2"/>
    <x v="0"/>
    <s v="Appliances"/>
    <x v="42"/>
    <s v="Medium Box"/>
    <n v="0.5"/>
    <d v="2012-12-18T00:00:00"/>
  </r>
  <r>
    <n v="69"/>
    <n v="416"/>
    <x v="42"/>
    <x v="0"/>
    <n v="20"/>
    <x v="43"/>
    <n v="0.01"/>
    <s v="Express Air"/>
    <n v="88.52"/>
    <n v="65.989999999999995"/>
    <n v="7.69"/>
    <x v="43"/>
    <s v="Ontario"/>
    <x v="2"/>
    <x v="3"/>
    <x v="2"/>
    <s v="Telephones and Communication"/>
    <x v="43"/>
    <s v="Small Box"/>
    <n v="0.59"/>
    <d v="2010-10-01T00:00:00"/>
  </r>
  <r>
    <n v="70"/>
    <n v="417"/>
    <x v="43"/>
    <x v="4"/>
    <n v="39"/>
    <x v="44"/>
    <n v="7.0000000000000007E-2"/>
    <s v="Delivery Truck"/>
    <n v="8734.8799999999992"/>
    <n v="500.98"/>
    <n v="28.14"/>
    <x v="44"/>
    <s v="Yukon"/>
    <x v="5"/>
    <x v="0"/>
    <x v="2"/>
    <s v="Office Machines"/>
    <x v="44"/>
    <s v="Jumbo Drum"/>
    <n v="0.38"/>
    <d v="2009-02-06T00:00:00"/>
  </r>
  <r>
    <n v="72"/>
    <n v="420"/>
    <x v="44"/>
    <x v="1"/>
    <n v="8"/>
    <x v="45"/>
    <n v="0.09"/>
    <s v="Regular Air"/>
    <n v="-20.69"/>
    <n v="4.9800000000000004"/>
    <n v="4.8600000000000003"/>
    <x v="45"/>
    <s v="Alberta"/>
    <x v="1"/>
    <x v="0"/>
    <x v="0"/>
    <s v="Paper"/>
    <x v="45"/>
    <s v="Small Box"/>
    <n v="0.38"/>
    <d v="2011-10-30T00:00:00"/>
  </r>
  <r>
    <n v="76"/>
    <n v="450"/>
    <x v="45"/>
    <x v="1"/>
    <n v="29"/>
    <x v="46"/>
    <n v="0.05"/>
    <s v="Express Air"/>
    <n v="109.33"/>
    <n v="34.58"/>
    <n v="8.99"/>
    <x v="46"/>
    <s v="British Columbia"/>
    <x v="1"/>
    <x v="3"/>
    <x v="0"/>
    <s v="Pens &amp; Art Supplies"/>
    <x v="46"/>
    <s v="Small Pack"/>
    <n v="0.56000000000000005"/>
    <d v="2011-03-05T00:00:00"/>
  </r>
  <r>
    <n v="78"/>
    <n v="454"/>
    <x v="46"/>
    <x v="0"/>
    <n v="42"/>
    <x v="47"/>
    <n v="0.09"/>
    <s v="Regular Air"/>
    <n v="56.22"/>
    <n v="6.08"/>
    <n v="1.82"/>
    <x v="47"/>
    <s v="Ontario"/>
    <x v="2"/>
    <x v="0"/>
    <x v="0"/>
    <s v="Rubber Bands"/>
    <x v="47"/>
    <s v="Wrap Bag"/>
    <n v="0.35"/>
    <d v="2011-12-28T00:00:00"/>
  </r>
  <r>
    <n v="79"/>
    <n v="481"/>
    <x v="47"/>
    <x v="2"/>
    <n v="44"/>
    <x v="48"/>
    <n v="0.01"/>
    <s v="Regular Air"/>
    <n v="1426.26"/>
    <n v="115.99"/>
    <n v="5.26"/>
    <x v="48"/>
    <s v="British Columbia"/>
    <x v="1"/>
    <x v="2"/>
    <x v="2"/>
    <s v="Telephones and Communication"/>
    <x v="48"/>
    <s v="Small Box"/>
    <n v="0.56999999999999995"/>
    <d v="2012-10-09T00:00:00"/>
  </r>
  <r>
    <n v="80"/>
    <n v="483"/>
    <x v="48"/>
    <x v="2"/>
    <n v="30"/>
    <x v="49"/>
    <n v="0.08"/>
    <s v="Regular Air"/>
    <n v="1198.97"/>
    <n v="195.99"/>
    <n v="3.99"/>
    <x v="49"/>
    <s v="Nunavut"/>
    <x v="0"/>
    <x v="1"/>
    <x v="2"/>
    <s v="Telephones and Communication"/>
    <x v="49"/>
    <s v="Small Box"/>
    <n v="0.57999999999999996"/>
    <d v="2011-07-12T00:00:00"/>
  </r>
  <r>
    <n v="81"/>
    <n v="487"/>
    <x v="49"/>
    <x v="3"/>
    <n v="19"/>
    <x v="50"/>
    <n v="7.0000000000000007E-2"/>
    <s v="Regular Air"/>
    <n v="-18.96"/>
    <n v="10.89"/>
    <n v="4.5"/>
    <x v="50"/>
    <s v="Manitoba"/>
    <x v="3"/>
    <x v="1"/>
    <x v="0"/>
    <s v="Appliances"/>
    <x v="50"/>
    <s v="Small Box"/>
    <n v="0.59"/>
    <d v="2012-08-18T00:00:00"/>
  </r>
  <r>
    <n v="82"/>
    <n v="512"/>
    <x v="50"/>
    <x v="0"/>
    <n v="6"/>
    <x v="51"/>
    <n v="0.06"/>
    <s v="Regular Air"/>
    <n v="19.18"/>
    <n v="218.08"/>
    <n v="18.059999999999999"/>
    <x v="51"/>
    <s v="Saskachewan"/>
    <x v="3"/>
    <x v="2"/>
    <x v="1"/>
    <s v="Chairs &amp; Chairmats"/>
    <x v="51"/>
    <s v="Large Box"/>
    <n v="0.56999999999999995"/>
    <d v="2011-05-19T00:00:00"/>
  </r>
  <r>
    <n v="84"/>
    <n v="513"/>
    <x v="51"/>
    <x v="2"/>
    <n v="33"/>
    <x v="52"/>
    <n v="0"/>
    <s v="Delivery Truck"/>
    <n v="-684.57"/>
    <n v="150.88999999999999"/>
    <n v="60.2"/>
    <x v="52"/>
    <s v="Ontario"/>
    <x v="2"/>
    <x v="2"/>
    <x v="1"/>
    <s v="Chairs &amp; Chairmats"/>
    <x v="52"/>
    <s v="Jumbo Drum"/>
    <n v="0.77"/>
    <d v="2011-04-30T00:00:00"/>
  </r>
  <r>
    <n v="85"/>
    <n v="515"/>
    <x v="52"/>
    <x v="1"/>
    <n v="19"/>
    <x v="53"/>
    <n v="0.08"/>
    <s v="Regular Air"/>
    <n v="30.94"/>
    <n v="21.78"/>
    <n v="5.94"/>
    <x v="53"/>
    <s v="Nunavut"/>
    <x v="0"/>
    <x v="3"/>
    <x v="0"/>
    <s v="Appliances"/>
    <x v="53"/>
    <s v="Medium Box"/>
    <n v="0.5"/>
    <d v="2010-08-30T00:00:00"/>
  </r>
  <r>
    <n v="87"/>
    <n v="548"/>
    <x v="53"/>
    <x v="3"/>
    <n v="41"/>
    <x v="54"/>
    <n v="0.04"/>
    <s v="Regular Air"/>
    <n v="36.020000000000003"/>
    <n v="3.08"/>
    <n v="0.99"/>
    <x v="54"/>
    <s v="Saskachewan"/>
    <x v="3"/>
    <x v="2"/>
    <x v="0"/>
    <s v="Labels"/>
    <x v="54"/>
    <s v="Small Box"/>
    <n v="0.37"/>
    <d v="2009-09-21T00:00:00"/>
  </r>
  <r>
    <n v="90"/>
    <n v="549"/>
    <x v="54"/>
    <x v="3"/>
    <n v="13"/>
    <x v="55"/>
    <n v="0.03"/>
    <s v="Regular Air"/>
    <n v="-59.75"/>
    <n v="4.9800000000000004"/>
    <n v="7.44"/>
    <x v="55"/>
    <s v="Ontario"/>
    <x v="2"/>
    <x v="3"/>
    <x v="0"/>
    <s v="Paper"/>
    <x v="55"/>
    <s v="Small Box"/>
    <n v="0.36"/>
    <d v="2012-07-13T00:00:00"/>
  </r>
  <r>
    <n v="93"/>
    <n v="610"/>
    <x v="55"/>
    <x v="3"/>
    <n v="38"/>
    <x v="56"/>
    <n v="0.02"/>
    <s v="Express Air"/>
    <n v="-29.21"/>
    <n v="6.68"/>
    <n v="5.41"/>
    <x v="56"/>
    <s v="Manitoba"/>
    <x v="3"/>
    <x v="2"/>
    <x v="0"/>
    <s v="Paper"/>
    <x v="56"/>
    <s v="Small Box"/>
    <n v="0.37"/>
    <d v="2011-08-03T00:00:00"/>
  </r>
  <r>
    <n v="95"/>
    <n v="612"/>
    <x v="56"/>
    <x v="4"/>
    <n v="50"/>
    <x v="57"/>
    <n v="0.1"/>
    <s v="Regular Air"/>
    <n v="-166.29"/>
    <n v="5.28"/>
    <n v="6.26"/>
    <x v="57"/>
    <s v="Manitoba"/>
    <x v="3"/>
    <x v="1"/>
    <x v="0"/>
    <s v="Paper"/>
    <x v="57"/>
    <s v="Small Box"/>
    <n v="0.4"/>
    <d v="2012-10-22T00:00:00"/>
  </r>
  <r>
    <n v="97"/>
    <n v="613"/>
    <x v="57"/>
    <x v="2"/>
    <n v="12"/>
    <x v="58"/>
    <n v="0.03"/>
    <s v="Regular Air"/>
    <n v="-54.04"/>
    <n v="7.3"/>
    <n v="7.72"/>
    <x v="58"/>
    <s v="Nunavut"/>
    <x v="0"/>
    <x v="1"/>
    <x v="0"/>
    <s v="Binders and Binder Accessories"/>
    <x v="58"/>
    <s v="Small Box"/>
    <n v="0.38"/>
    <d v="2011-06-17T00:00:00"/>
  </r>
  <r>
    <n v="99"/>
    <n v="614"/>
    <x v="58"/>
    <x v="2"/>
    <n v="41"/>
    <x v="59"/>
    <n v="0"/>
    <s v="Regular Air"/>
    <n v="163.81"/>
    <n v="14.34"/>
    <n v="5"/>
    <x v="59"/>
    <s v="Quebec"/>
    <x v="4"/>
    <x v="1"/>
    <x v="1"/>
    <s v="Office Furnishings"/>
    <x v="59"/>
    <s v="Small Pack"/>
    <n v="0.49"/>
    <d v="2012-12-02T00:00:00"/>
  </r>
  <r>
    <n v="101"/>
    <n v="640"/>
    <x v="59"/>
    <x v="2"/>
    <n v="39"/>
    <x v="60"/>
    <n v="0.02"/>
    <s v="Delivery Truck"/>
    <n v="-1153.9000000000001"/>
    <n v="120.98"/>
    <n v="58.64"/>
    <x v="60"/>
    <s v="Ontario"/>
    <x v="2"/>
    <x v="3"/>
    <x v="1"/>
    <s v="Bookcases"/>
    <x v="60"/>
    <s v="Jumbo Box"/>
    <n v="0.75"/>
    <d v="2010-01-23T00:00:00"/>
  </r>
  <r>
    <n v="103"/>
    <n v="643"/>
    <x v="60"/>
    <x v="2"/>
    <n v="21"/>
    <x v="61"/>
    <n v="7.0000000000000007E-2"/>
    <s v="Express Air"/>
    <n v="-695.26"/>
    <n v="138.13999999999999"/>
    <n v="35"/>
    <x v="61"/>
    <s v="Nunavut"/>
    <x v="0"/>
    <x v="1"/>
    <x v="0"/>
    <s v="Storage &amp; Organization"/>
    <x v="61"/>
    <s v="Large Box"/>
    <m/>
    <d v="2011-03-25T00:00:00"/>
  </r>
  <r>
    <n v="104"/>
    <n v="644"/>
    <x v="14"/>
    <x v="3"/>
    <n v="5"/>
    <x v="62"/>
    <n v="0.01"/>
    <s v="Delivery Truck"/>
    <n v="-171.92"/>
    <n v="320.98"/>
    <n v="58.95"/>
    <x v="62"/>
    <s v="Quebec"/>
    <x v="4"/>
    <x v="1"/>
    <x v="1"/>
    <s v="Chairs &amp; Chairmats"/>
    <x v="62"/>
    <s v="Jumbo Drum"/>
    <n v="0.56999999999999995"/>
    <d v="2012-05-01T00:00:00"/>
  </r>
  <r>
    <n v="105"/>
    <n v="645"/>
    <x v="61"/>
    <x v="2"/>
    <n v="42"/>
    <x v="63"/>
    <n v="0.05"/>
    <s v="Regular Air"/>
    <n v="89.45"/>
    <n v="12.95"/>
    <n v="4.9800000000000004"/>
    <x v="63"/>
    <s v="Prince Edward Island"/>
    <x v="6"/>
    <x v="3"/>
    <x v="0"/>
    <s v="Binders and Binder Accessories"/>
    <x v="63"/>
    <s v="Small Box"/>
    <n v="0.4"/>
    <d v="2009-12-04T00:00:00"/>
  </r>
  <r>
    <n v="106"/>
    <n v="646"/>
    <x v="62"/>
    <x v="2"/>
    <n v="18"/>
    <x v="64"/>
    <n v="0.01"/>
    <s v="Regular Air"/>
    <n v="-10.9"/>
    <n v="9.31"/>
    <n v="3.98"/>
    <x v="64"/>
    <s v="Ontario"/>
    <x v="2"/>
    <x v="0"/>
    <x v="0"/>
    <s v="Scissors, Rulers and Trimmers"/>
    <x v="64"/>
    <s v="Small Pack"/>
    <n v="0.56000000000000005"/>
    <d v="2009-11-22T00:00:00"/>
  </r>
  <r>
    <n v="107"/>
    <n v="678"/>
    <x v="63"/>
    <x v="0"/>
    <n v="44"/>
    <x v="65"/>
    <n v="7.0000000000000007E-2"/>
    <s v="Regular Air"/>
    <n v="-226.36"/>
    <n v="4.9800000000000004"/>
    <n v="8.33"/>
    <x v="65"/>
    <s v="Nunavut"/>
    <x v="0"/>
    <x v="2"/>
    <x v="0"/>
    <s v="Paper"/>
    <x v="65"/>
    <s v="Small Box"/>
    <n v="0.38"/>
    <d v="2010-02-26T00:00:00"/>
  </r>
  <r>
    <n v="108"/>
    <n v="706"/>
    <x v="64"/>
    <x v="3"/>
    <n v="42"/>
    <x v="66"/>
    <n v="0.05"/>
    <s v="Regular Air"/>
    <n v="0.82"/>
    <n v="1.76"/>
    <n v="0.7"/>
    <x v="66"/>
    <s v="Nova Scotia"/>
    <x v="6"/>
    <x v="3"/>
    <x v="0"/>
    <s v="Pens &amp; Art Supplies"/>
    <x v="66"/>
    <s v="Wrap Bag"/>
    <n v="0.56000000000000005"/>
    <d v="2011-09-10T00:00:00"/>
  </r>
  <r>
    <n v="109"/>
    <n v="710"/>
    <x v="65"/>
    <x v="0"/>
    <n v="42"/>
    <x v="67"/>
    <n v="0.01"/>
    <s v="Regular Air"/>
    <n v="-150.37"/>
    <n v="3.58"/>
    <n v="5.47"/>
    <x v="67"/>
    <s v="Manitoba"/>
    <x v="3"/>
    <x v="1"/>
    <x v="0"/>
    <s v="Binders and Binder Accessories"/>
    <x v="67"/>
    <s v="Small Box"/>
    <n v="0.37"/>
    <d v="2010-01-05T00:00:00"/>
  </r>
  <r>
    <n v="112"/>
    <n v="738"/>
    <x v="66"/>
    <x v="1"/>
    <n v="7"/>
    <x v="68"/>
    <n v="0.04"/>
    <s v="Regular Air"/>
    <n v="32.6"/>
    <n v="80.98"/>
    <n v="4.5"/>
    <x v="68"/>
    <s v="Quebec"/>
    <x v="4"/>
    <x v="1"/>
    <x v="0"/>
    <s v="Appliances"/>
    <x v="68"/>
    <s v="Small Box"/>
    <n v="0.59"/>
    <d v="2010-03-03T00:00:00"/>
  </r>
  <r>
    <n v="114"/>
    <n v="740"/>
    <x v="2"/>
    <x v="4"/>
    <n v="6"/>
    <x v="69"/>
    <n v="0.09"/>
    <s v="Regular Air"/>
    <n v="3.46"/>
    <n v="4.9800000000000004"/>
    <n v="0.49"/>
    <x v="69"/>
    <s v="Ontario"/>
    <x v="2"/>
    <x v="1"/>
    <x v="0"/>
    <s v="Labels"/>
    <x v="69"/>
    <s v="Small Box"/>
    <n v="0.39"/>
    <d v="2011-07-15T00:00:00"/>
  </r>
  <r>
    <n v="115"/>
    <n v="769"/>
    <x v="67"/>
    <x v="4"/>
    <n v="37"/>
    <x v="70"/>
    <n v="0.02"/>
    <s v="Delivery Truck"/>
    <n v="4.1500000000000004"/>
    <n v="115.99"/>
    <n v="56.14"/>
    <x v="70"/>
    <s v="Prince Edward Island"/>
    <x v="6"/>
    <x v="3"/>
    <x v="2"/>
    <s v="Office Machines"/>
    <x v="70"/>
    <s v="Jumbo Drum"/>
    <n v="0.4"/>
    <d v="2010-06-02T00:00:00"/>
  </r>
  <r>
    <n v="116"/>
    <n v="771"/>
    <x v="68"/>
    <x v="3"/>
    <n v="18"/>
    <x v="71"/>
    <n v="0.08"/>
    <s v="Regular Air"/>
    <n v="-38.35"/>
    <n v="4.9800000000000004"/>
    <n v="4.72"/>
    <x v="71"/>
    <s v="Saskachewan"/>
    <x v="3"/>
    <x v="2"/>
    <x v="0"/>
    <s v="Paper"/>
    <x v="71"/>
    <s v="Small Box"/>
    <n v="0.36"/>
    <d v="2011-06-17T00:00:00"/>
  </r>
  <r>
    <n v="117"/>
    <n v="772"/>
    <x v="69"/>
    <x v="2"/>
    <n v="35"/>
    <x v="72"/>
    <n v="0.08"/>
    <s v="Regular Air"/>
    <n v="-38.35"/>
    <n v="17.52"/>
    <n v="8.17"/>
    <x v="72"/>
    <s v="Quebec"/>
    <x v="4"/>
    <x v="3"/>
    <x v="0"/>
    <s v="Appliances"/>
    <x v="72"/>
    <s v="Medium Box"/>
    <n v="0.5"/>
    <d v="2010-04-18T00:00:00"/>
  </r>
  <r>
    <n v="119"/>
    <n v="773"/>
    <x v="70"/>
    <x v="4"/>
    <n v="38"/>
    <x v="73"/>
    <n v="0.06"/>
    <s v="Regular Air"/>
    <n v="324.93"/>
    <n v="65.989999999999995"/>
    <n v="8.99"/>
    <x v="73"/>
    <s v="Prince Edward Island"/>
    <x v="6"/>
    <x v="2"/>
    <x v="2"/>
    <s v="Telephones and Communication"/>
    <x v="73"/>
    <s v="Small Box"/>
    <n v="0.56000000000000005"/>
    <d v="2010-09-26T00:00:00"/>
  </r>
  <r>
    <n v="120"/>
    <n v="774"/>
    <x v="71"/>
    <x v="3"/>
    <n v="17"/>
    <x v="74"/>
    <n v="0.03"/>
    <s v="Regular Air"/>
    <n v="-752.13"/>
    <n v="4.4800000000000004"/>
    <n v="49"/>
    <x v="74"/>
    <s v="Alberta"/>
    <x v="1"/>
    <x v="0"/>
    <x v="0"/>
    <s v="Appliances"/>
    <x v="74"/>
    <s v="Large Box"/>
    <n v="0.6"/>
    <d v="2011-12-05T00:00:00"/>
  </r>
  <r>
    <n v="121"/>
    <n v="775"/>
    <x v="5"/>
    <x v="3"/>
    <n v="35"/>
    <x v="75"/>
    <n v="0.1"/>
    <s v="Regular Air"/>
    <n v="-19.170000000000002"/>
    <n v="1.26"/>
    <n v="0.7"/>
    <x v="75"/>
    <s v="Nova Scotia"/>
    <x v="6"/>
    <x v="0"/>
    <x v="0"/>
    <s v="Rubber Bands"/>
    <x v="75"/>
    <s v="Wrap Bag"/>
    <n v="0.81"/>
    <d v="2011-03-18T00:00:00"/>
  </r>
  <r>
    <n v="123"/>
    <n v="801"/>
    <x v="72"/>
    <x v="3"/>
    <n v="20"/>
    <x v="76"/>
    <n v="0.03"/>
    <s v="Regular Air"/>
    <n v="-47.41"/>
    <n v="2.74"/>
    <n v="3.5"/>
    <x v="76"/>
    <s v="Manitoba"/>
    <x v="3"/>
    <x v="1"/>
    <x v="0"/>
    <s v="Pens &amp; Art Supplies"/>
    <x v="76"/>
    <s v="Small Pack"/>
    <n v="0.57999999999999996"/>
    <d v="2012-02-20T00:00:00"/>
  </r>
  <r>
    <n v="124"/>
    <n v="802"/>
    <x v="73"/>
    <x v="3"/>
    <n v="33"/>
    <x v="77"/>
    <n v="0.08"/>
    <s v="Regular Air"/>
    <n v="12.72"/>
    <n v="11.7"/>
    <n v="5.63"/>
    <x v="77"/>
    <s v="Ontario"/>
    <x v="2"/>
    <x v="1"/>
    <x v="0"/>
    <s v="Binders and Binder Accessories"/>
    <x v="77"/>
    <s v="Small Box"/>
    <n v="0.4"/>
    <d v="2011-01-06T00:00:00"/>
  </r>
  <r>
    <n v="126"/>
    <n v="805"/>
    <x v="74"/>
    <x v="1"/>
    <n v="39"/>
    <x v="78"/>
    <n v="0.02"/>
    <s v="Regular Air"/>
    <n v="-119.86"/>
    <n v="4.97"/>
    <n v="5.71"/>
    <x v="78"/>
    <s v="Saskachewan"/>
    <x v="3"/>
    <x v="0"/>
    <x v="1"/>
    <s v="Office Furnishings"/>
    <x v="78"/>
    <s v="Medium Box"/>
    <n v="0.54"/>
    <d v="2011-07-06T00:00:00"/>
  </r>
  <r>
    <n v="127"/>
    <n v="807"/>
    <x v="75"/>
    <x v="4"/>
    <n v="45"/>
    <x v="79"/>
    <n v="0.01"/>
    <s v="Regular Air"/>
    <n v="-166.85"/>
    <n v="4.28"/>
    <n v="6.18"/>
    <x v="79"/>
    <s v="Nunavut"/>
    <x v="0"/>
    <x v="2"/>
    <x v="0"/>
    <s v="Paper"/>
    <x v="79"/>
    <s v="Small Box"/>
    <n v="0.4"/>
    <d v="2010-11-24T00:00:00"/>
  </r>
  <r>
    <n v="129"/>
    <n v="832"/>
    <x v="76"/>
    <x v="0"/>
    <n v="7"/>
    <x v="80"/>
    <n v="0.02"/>
    <s v="Regular Air"/>
    <n v="-17.579999999999998"/>
    <n v="6.48"/>
    <n v="5.9"/>
    <x v="80"/>
    <s v="Alberta"/>
    <x v="1"/>
    <x v="1"/>
    <x v="0"/>
    <s v="Paper"/>
    <x v="80"/>
    <s v="Small Box"/>
    <n v="0.37"/>
    <d v="2012-04-22T00:00:00"/>
  </r>
  <r>
    <n v="130"/>
    <n v="833"/>
    <x v="77"/>
    <x v="4"/>
    <n v="1"/>
    <x v="81"/>
    <n v="0.03"/>
    <s v="Regular Air"/>
    <n v="-20.32"/>
    <n v="12.53"/>
    <n v="7.17"/>
    <x v="81"/>
    <s v="Ontario"/>
    <x v="2"/>
    <x v="2"/>
    <x v="0"/>
    <s v="Binders and Binder Accessories"/>
    <x v="81"/>
    <s v="Small Box"/>
    <n v="0.38"/>
    <d v="2009-02-13T00:00:00"/>
  </r>
  <r>
    <n v="133"/>
    <n v="837"/>
    <x v="78"/>
    <x v="1"/>
    <n v="11"/>
    <x v="82"/>
    <n v="0.01"/>
    <s v="Regular Air"/>
    <n v="13.41"/>
    <n v="5.84"/>
    <n v="0.83"/>
    <x v="82"/>
    <s v="Ontario"/>
    <x v="2"/>
    <x v="1"/>
    <x v="0"/>
    <s v="Pens &amp; Art Supplies"/>
    <x v="82"/>
    <s v="Wrap Bag"/>
    <n v="0.49"/>
    <d v="2009-06-16T00:00:00"/>
  </r>
  <r>
    <n v="137"/>
    <n v="871"/>
    <x v="79"/>
    <x v="0"/>
    <n v="17"/>
    <x v="83"/>
    <n v="0.06"/>
    <s v="Regular Air"/>
    <n v="-34.97"/>
    <n v="6.24"/>
    <n v="5.22"/>
    <x v="83"/>
    <s v="Yukon"/>
    <x v="5"/>
    <x v="2"/>
    <x v="1"/>
    <s v="Office Furnishings"/>
    <x v="83"/>
    <s v="Small Box"/>
    <n v="0.6"/>
    <d v="2011-11-14T00:00:00"/>
  </r>
  <r>
    <n v="138"/>
    <n v="896"/>
    <x v="80"/>
    <x v="3"/>
    <n v="50"/>
    <x v="84"/>
    <n v="0.01"/>
    <s v="Regular Air"/>
    <n v="52.48"/>
    <n v="24.92"/>
    <n v="12.98"/>
    <x v="84"/>
    <s v="Ontario"/>
    <x v="2"/>
    <x v="2"/>
    <x v="0"/>
    <s v="Binders and Binder Accessories"/>
    <x v="84"/>
    <s v="Small Box"/>
    <n v="0.39"/>
    <d v="2010-03-08T00:00:00"/>
  </r>
  <r>
    <n v="139"/>
    <n v="898"/>
    <x v="81"/>
    <x v="2"/>
    <n v="40"/>
    <x v="85"/>
    <n v="0.03"/>
    <s v="Regular Air"/>
    <n v="45.39"/>
    <n v="15.98"/>
    <n v="6.5"/>
    <x v="85"/>
    <s v="Quebec"/>
    <x v="4"/>
    <x v="3"/>
    <x v="2"/>
    <s v="Computer Peripherals"/>
    <x v="85"/>
    <s v="Small Box"/>
    <n v="0.48"/>
    <d v="2010-06-04T00:00:00"/>
  </r>
  <r>
    <n v="141"/>
    <n v="900"/>
    <x v="82"/>
    <x v="1"/>
    <n v="29"/>
    <x v="86"/>
    <n v="7.0000000000000007E-2"/>
    <s v="Regular Air"/>
    <n v="507.58"/>
    <n v="40.98"/>
    <n v="2.99"/>
    <x v="86"/>
    <s v="Nova Scotia"/>
    <x v="6"/>
    <x v="2"/>
    <x v="0"/>
    <s v="Binders and Binder Accessories"/>
    <x v="86"/>
    <s v="Small Box"/>
    <n v="0.36"/>
    <d v="2009-10-01T00:00:00"/>
  </r>
  <r>
    <n v="142"/>
    <n v="902"/>
    <x v="83"/>
    <x v="1"/>
    <n v="10"/>
    <x v="87"/>
    <n v="0.09"/>
    <s v="Regular Air"/>
    <n v="359.83"/>
    <n v="207.48"/>
    <n v="0.99"/>
    <x v="87"/>
    <s v="Manitoba"/>
    <x v="3"/>
    <x v="1"/>
    <x v="0"/>
    <s v="Appliances"/>
    <x v="87"/>
    <s v="Small Box"/>
    <n v="0.55000000000000004"/>
    <d v="2009-07-29T00:00:00"/>
  </r>
  <r>
    <n v="143"/>
    <n v="928"/>
    <x v="84"/>
    <x v="0"/>
    <n v="21"/>
    <x v="88"/>
    <n v="0.06"/>
    <s v="Express Air"/>
    <n v="300.97000000000003"/>
    <n v="59.98"/>
    <n v="3.99"/>
    <x v="88"/>
    <s v="British Columbia"/>
    <x v="1"/>
    <x v="3"/>
    <x v="0"/>
    <s v="Appliances"/>
    <x v="88"/>
    <s v="Small Box"/>
    <n v="0.56999999999999995"/>
    <d v="2011-03-06T00:00:00"/>
  </r>
  <r>
    <n v="145"/>
    <n v="929"/>
    <x v="29"/>
    <x v="2"/>
    <n v="21"/>
    <x v="89"/>
    <n v="0.04"/>
    <s v="Regular Air"/>
    <n v="-100.16"/>
    <n v="10.97"/>
    <n v="6.5"/>
    <x v="89"/>
    <s v="Yukon"/>
    <x v="5"/>
    <x v="1"/>
    <x v="2"/>
    <s v="Computer Peripherals"/>
    <x v="89"/>
    <s v="Small Box"/>
    <n v="0.64"/>
    <d v="2012-10-04T00:00:00"/>
  </r>
  <r>
    <n v="147"/>
    <n v="930"/>
    <x v="85"/>
    <x v="3"/>
    <n v="22"/>
    <x v="90"/>
    <n v="0.03"/>
    <s v="Express Air"/>
    <n v="-41.64"/>
    <n v="41.32"/>
    <n v="58.66"/>
    <x v="90"/>
    <s v="New Brunswick"/>
    <x v="6"/>
    <x v="0"/>
    <x v="1"/>
    <s v="Office Furnishings"/>
    <x v="90"/>
    <s v="Medium Box"/>
    <n v="0.76"/>
    <d v="2009-12-17T00:00:00"/>
  </r>
  <r>
    <n v="149"/>
    <n v="933"/>
    <x v="86"/>
    <x v="1"/>
    <n v="15"/>
    <x v="91"/>
    <n v="0.02"/>
    <s v="Regular Air"/>
    <n v="-4.72"/>
    <n v="5.28"/>
    <n v="2.99"/>
    <x v="91"/>
    <s v="Nunavut"/>
    <x v="0"/>
    <x v="0"/>
    <x v="0"/>
    <s v="Binders and Binder Accessories"/>
    <x v="91"/>
    <s v="Small Box"/>
    <n v="0.37"/>
    <d v="2012-08-04T00:00:00"/>
  </r>
  <r>
    <n v="150"/>
    <n v="960"/>
    <x v="53"/>
    <x v="4"/>
    <n v="46"/>
    <x v="92"/>
    <n v="7.0000000000000007E-2"/>
    <s v="Regular Air"/>
    <n v="-22.72"/>
    <n v="13.73"/>
    <n v="6.85"/>
    <x v="92"/>
    <s v="Ontario"/>
    <x v="2"/>
    <x v="3"/>
    <x v="1"/>
    <s v="Office Furnishings"/>
    <x v="92"/>
    <s v="Wrap Bag"/>
    <n v="0.54"/>
    <d v="2009-09-21T00:00:00"/>
  </r>
  <r>
    <n v="151"/>
    <n v="962"/>
    <x v="87"/>
    <x v="0"/>
    <n v="33"/>
    <x v="93"/>
    <n v="0.06"/>
    <s v="Regular Air"/>
    <n v="1408.19"/>
    <n v="122.99"/>
    <n v="19.989999999999998"/>
    <x v="93"/>
    <s v="British Columbia"/>
    <x v="1"/>
    <x v="0"/>
    <x v="0"/>
    <s v="Binders and Binder Accessories"/>
    <x v="93"/>
    <s v="Small Box"/>
    <n v="0.37"/>
    <d v="2009-05-07T00:00:00"/>
  </r>
  <r>
    <n v="153"/>
    <n v="964"/>
    <x v="50"/>
    <x v="4"/>
    <n v="50"/>
    <x v="94"/>
    <n v="0.02"/>
    <s v="Regular Air"/>
    <n v="95.16"/>
    <n v="5.98"/>
    <n v="1.49"/>
    <x v="94"/>
    <s v="Quebec"/>
    <x v="4"/>
    <x v="1"/>
    <x v="0"/>
    <s v="Binders and Binder Accessories"/>
    <x v="94"/>
    <s v="Small Box"/>
    <n v="0.39"/>
    <d v="2011-05-21T00:00:00"/>
  </r>
  <r>
    <n v="155"/>
    <n v="965"/>
    <x v="88"/>
    <x v="0"/>
    <n v="42"/>
    <x v="95"/>
    <n v="7.0000000000000007E-2"/>
    <s v="Delivery Truck"/>
    <n v="-679.04"/>
    <n v="280.98"/>
    <n v="35.67"/>
    <x v="95"/>
    <s v="Ontario"/>
    <x v="2"/>
    <x v="1"/>
    <x v="1"/>
    <s v="Tables"/>
    <x v="95"/>
    <s v="Jumbo Box"/>
    <n v="0.66"/>
    <d v="2011-05-21T00:00:00"/>
  </r>
  <r>
    <n v="156"/>
    <n v="967"/>
    <x v="89"/>
    <x v="4"/>
    <n v="6"/>
    <x v="96"/>
    <n v="0.03"/>
    <s v="Regular Air"/>
    <n v="-37.58"/>
    <n v="13.99"/>
    <n v="7.51"/>
    <x v="96"/>
    <s v="Yukon"/>
    <x v="5"/>
    <x v="3"/>
    <x v="2"/>
    <s v="Office Machines"/>
    <x v="96"/>
    <s v="Medium Box"/>
    <n v="0.39"/>
    <d v="2012-06-22T00:00:00"/>
  </r>
  <r>
    <n v="159"/>
    <n v="994"/>
    <x v="90"/>
    <x v="0"/>
    <n v="38"/>
    <x v="97"/>
    <n v="0.06"/>
    <s v="Regular Air"/>
    <n v="14"/>
    <n v="3.58"/>
    <n v="1.63"/>
    <x v="97"/>
    <s v="Ontario"/>
    <x v="2"/>
    <x v="1"/>
    <x v="0"/>
    <s v="Rubber Bands"/>
    <x v="97"/>
    <s v="Wrap Bag"/>
    <n v="0.36"/>
    <d v="2009-04-23T00:00:00"/>
  </r>
  <r>
    <n v="161"/>
    <n v="998"/>
    <x v="91"/>
    <x v="1"/>
    <n v="16"/>
    <x v="98"/>
    <n v="7.0000000000000007E-2"/>
    <s v="Regular Air"/>
    <n v="93.8"/>
    <n v="15.74"/>
    <n v="1.39"/>
    <x v="98"/>
    <s v="Nunavut"/>
    <x v="0"/>
    <x v="0"/>
    <x v="0"/>
    <s v="Envelopes"/>
    <x v="98"/>
    <s v="Small Box"/>
    <n v="0.4"/>
    <d v="2009-11-26T00:00:00"/>
  </r>
  <r>
    <n v="162"/>
    <n v="999"/>
    <x v="92"/>
    <x v="0"/>
    <n v="6"/>
    <x v="99"/>
    <n v="0.08"/>
    <s v="Regular Air"/>
    <n v="-179.5"/>
    <n v="95.43"/>
    <n v="19.989999999999998"/>
    <x v="99"/>
    <s v="Ontario"/>
    <x v="2"/>
    <x v="2"/>
    <x v="0"/>
    <s v="Storage &amp; Organization"/>
    <x v="99"/>
    <s v="Small Box"/>
    <n v="0.79"/>
    <d v="2010-09-11T00:00:00"/>
  </r>
  <r>
    <n v="163"/>
    <n v="1027"/>
    <x v="93"/>
    <x v="4"/>
    <n v="19"/>
    <x v="100"/>
    <n v="0.04"/>
    <s v="Delivery Truck"/>
    <n v="-379.1"/>
    <n v="70.98"/>
    <n v="46.74"/>
    <x v="100"/>
    <s v="Alberta"/>
    <x v="1"/>
    <x v="2"/>
    <x v="1"/>
    <s v="Bookcases"/>
    <x v="100"/>
    <s v="Jumbo Box"/>
    <n v="0.56000000000000005"/>
    <d v="2012-06-04T00:00:00"/>
  </r>
  <r>
    <n v="167"/>
    <n v="1057"/>
    <x v="94"/>
    <x v="3"/>
    <n v="41"/>
    <x v="101"/>
    <n v="0.09"/>
    <s v="Regular Air"/>
    <n v="-52.48"/>
    <n v="8.4600000000000009"/>
    <n v="3.62"/>
    <x v="101"/>
    <s v="Ontario"/>
    <x v="2"/>
    <x v="1"/>
    <x v="2"/>
    <s v="Computer Peripherals"/>
    <x v="101"/>
    <s v="Small Pack"/>
    <n v="0.61"/>
    <d v="2012-02-21T00:00:00"/>
  </r>
  <r>
    <n v="168"/>
    <n v="1058"/>
    <x v="95"/>
    <x v="4"/>
    <n v="3"/>
    <x v="102"/>
    <n v="7.0000000000000007E-2"/>
    <s v="Regular Air"/>
    <n v="-888.16"/>
    <n v="195.99"/>
    <n v="8.99"/>
    <x v="102"/>
    <s v="New Brunswick"/>
    <x v="6"/>
    <x v="0"/>
    <x v="2"/>
    <s v="Telephones and Communication"/>
    <x v="102"/>
    <s v="Small Box"/>
    <n v="0.6"/>
    <d v="2010-04-26T00:00:00"/>
  </r>
  <r>
    <n v="171"/>
    <n v="1060"/>
    <x v="96"/>
    <x v="4"/>
    <n v="30"/>
    <x v="103"/>
    <n v="0"/>
    <s v="Regular Air"/>
    <n v="532.61"/>
    <n v="37.700000000000003"/>
    <n v="2.99"/>
    <x v="103"/>
    <s v="Alberta"/>
    <x v="1"/>
    <x v="1"/>
    <x v="0"/>
    <s v="Binders and Binder Accessories"/>
    <x v="103"/>
    <s v="Small Box"/>
    <n v="0.35"/>
    <d v="2010-02-22T00:00:00"/>
  </r>
  <r>
    <n v="172"/>
    <n v="1088"/>
    <x v="97"/>
    <x v="0"/>
    <n v="13"/>
    <x v="104"/>
    <n v="0.1"/>
    <s v="Regular Air"/>
    <n v="-112"/>
    <n v="20.97"/>
    <n v="6.5"/>
    <x v="104"/>
    <s v="New Brunswick"/>
    <x v="6"/>
    <x v="3"/>
    <x v="2"/>
    <s v="Computer Peripherals"/>
    <x v="104"/>
    <s v="Small Box"/>
    <n v="0.78"/>
    <d v="2012-05-27T00:00:00"/>
  </r>
  <r>
    <n v="175"/>
    <n v="1154"/>
    <x v="98"/>
    <x v="3"/>
    <n v="44"/>
    <x v="105"/>
    <n v="0.04"/>
    <s v="Delivery Truck"/>
    <n v="440.72"/>
    <n v="100.98"/>
    <n v="26.22"/>
    <x v="105"/>
    <s v="Nunavut"/>
    <x v="0"/>
    <x v="2"/>
    <x v="1"/>
    <s v="Bookcases"/>
    <x v="105"/>
    <s v="Jumbo Box"/>
    <n v="0.6"/>
    <d v="2012-02-16T00:00:00"/>
  </r>
  <r>
    <n v="179"/>
    <n v="1185"/>
    <x v="99"/>
    <x v="0"/>
    <n v="7"/>
    <x v="106"/>
    <n v="0.09"/>
    <s v="Regular Air"/>
    <n v="20.03"/>
    <n v="55.48"/>
    <n v="14.3"/>
    <x v="106"/>
    <s v="New Brunswick"/>
    <x v="6"/>
    <x v="2"/>
    <x v="0"/>
    <s v="Paper"/>
    <x v="106"/>
    <s v="Small Box"/>
    <n v="0.37"/>
    <d v="2012-08-27T00:00:00"/>
  </r>
  <r>
    <n v="181"/>
    <n v="1189"/>
    <x v="100"/>
    <x v="3"/>
    <n v="27"/>
    <x v="107"/>
    <n v="0"/>
    <s v="Regular Air"/>
    <n v="-59.82"/>
    <n v="4.42"/>
    <n v="4.99"/>
    <x v="107"/>
    <s v="Quebec"/>
    <x v="4"/>
    <x v="0"/>
    <x v="0"/>
    <s v="Envelopes"/>
    <x v="107"/>
    <s v="Small Box"/>
    <n v="0.38"/>
    <d v="2009-04-09T00:00:00"/>
  </r>
  <r>
    <n v="182"/>
    <n v="1191"/>
    <x v="101"/>
    <x v="4"/>
    <n v="35"/>
    <x v="108"/>
    <n v="0.08"/>
    <s v="Delivery Truck"/>
    <n v="-243.6"/>
    <n v="100.8"/>
    <n v="60"/>
    <x v="108"/>
    <s v="Quebec"/>
    <x v="4"/>
    <x v="2"/>
    <x v="1"/>
    <s v="Tables"/>
    <x v="108"/>
    <s v="Jumbo Drum"/>
    <n v="0.59"/>
    <d v="2011-11-07T00:00:00"/>
  </r>
  <r>
    <n v="183"/>
    <n v="1217"/>
    <x v="102"/>
    <x v="1"/>
    <n v="25"/>
    <x v="109"/>
    <n v="7.0000000000000007E-2"/>
    <s v="Regular Air"/>
    <n v="185.21"/>
    <n v="28.48"/>
    <n v="1.99"/>
    <x v="109"/>
    <s v="Saskachewan"/>
    <x v="3"/>
    <x v="1"/>
    <x v="2"/>
    <s v="Computer Peripherals"/>
    <x v="109"/>
    <s v="Small Pack"/>
    <n v="0.4"/>
    <d v="2012-04-26T00:00:00"/>
  </r>
  <r>
    <n v="184"/>
    <n v="1218"/>
    <x v="103"/>
    <x v="1"/>
    <n v="3"/>
    <x v="110"/>
    <n v="0.1"/>
    <s v="Regular Air"/>
    <n v="-25.13"/>
    <n v="14.42"/>
    <n v="6.75"/>
    <x v="110"/>
    <s v="Ontario"/>
    <x v="2"/>
    <x v="1"/>
    <x v="0"/>
    <s v="Appliances"/>
    <x v="110"/>
    <s v="Medium Box"/>
    <n v="0.52"/>
    <d v="2009-06-22T00:00:00"/>
  </r>
  <r>
    <n v="185"/>
    <n v="1221"/>
    <x v="76"/>
    <x v="1"/>
    <n v="1"/>
    <x v="111"/>
    <n v="0.06"/>
    <s v="Regular Air"/>
    <n v="-13.78"/>
    <n v="8.6"/>
    <n v="6.19"/>
    <x v="111"/>
    <s v="British Columbia"/>
    <x v="1"/>
    <x v="1"/>
    <x v="0"/>
    <s v="Binders and Binder Accessories"/>
    <x v="111"/>
    <s v="Small Box"/>
    <n v="0.38"/>
    <d v="2012-04-18T00:00:00"/>
  </r>
  <r>
    <n v="188"/>
    <n v="1222"/>
    <x v="104"/>
    <x v="4"/>
    <n v="48"/>
    <x v="112"/>
    <n v="0.08"/>
    <s v="Regular Air"/>
    <n v="-121.91"/>
    <n v="5.28"/>
    <n v="5.57"/>
    <x v="112"/>
    <s v="Alberta"/>
    <x v="1"/>
    <x v="2"/>
    <x v="0"/>
    <s v="Paper"/>
    <x v="112"/>
    <s v="Small Box"/>
    <n v="0.4"/>
    <d v="2010-02-04T00:00:00"/>
  </r>
  <r>
    <n v="189"/>
    <n v="1253"/>
    <x v="105"/>
    <x v="3"/>
    <n v="15"/>
    <x v="113"/>
    <n v="0.05"/>
    <s v="Regular Air"/>
    <n v="-30.19"/>
    <n v="31.98"/>
    <n v="6.72"/>
    <x v="113"/>
    <s v="Manitoba"/>
    <x v="3"/>
    <x v="3"/>
    <x v="0"/>
    <s v="Storage &amp; Organization"/>
    <x v="113"/>
    <s v="Small Box"/>
    <n v="0.75"/>
    <d v="2010-01-25T00:00:00"/>
  </r>
  <r>
    <n v="191"/>
    <n v="1282"/>
    <x v="106"/>
    <x v="1"/>
    <n v="26"/>
    <x v="114"/>
    <n v="0"/>
    <s v="Regular Air"/>
    <n v="366.48"/>
    <n v="31.78"/>
    <n v="1.99"/>
    <x v="114"/>
    <s v="British Columbia"/>
    <x v="1"/>
    <x v="2"/>
    <x v="2"/>
    <s v="Computer Peripherals"/>
    <x v="114"/>
    <s v="Small Pack"/>
    <n v="0.42"/>
    <d v="2012-02-29T00:00:00"/>
  </r>
  <r>
    <n v="193"/>
    <n v="1285"/>
    <x v="107"/>
    <x v="3"/>
    <n v="27"/>
    <x v="115"/>
    <n v="0"/>
    <s v="Delivery Truck"/>
    <n v="-305.98"/>
    <n v="130.97999999999999"/>
    <n v="54.74"/>
    <x v="115"/>
    <s v="Nova Scotia"/>
    <x v="6"/>
    <x v="1"/>
    <x v="1"/>
    <s v="Bookcases"/>
    <x v="115"/>
    <s v="Jumbo Box"/>
    <n v="0.69"/>
    <d v="2012-05-31T00:00:00"/>
  </r>
  <r>
    <n v="195"/>
    <n v="1286"/>
    <x v="108"/>
    <x v="1"/>
    <n v="46"/>
    <x v="116"/>
    <n v="0.05"/>
    <s v="Regular Air"/>
    <n v="-144.68"/>
    <n v="5.18"/>
    <n v="5.74"/>
    <x v="116"/>
    <s v="Ontario"/>
    <x v="2"/>
    <x v="2"/>
    <x v="0"/>
    <s v="Binders and Binder Accessories"/>
    <x v="116"/>
    <s v="Small Box"/>
    <n v="0.36"/>
    <d v="2010-05-14T00:00:00"/>
  </r>
  <r>
    <n v="197"/>
    <n v="1287"/>
    <x v="109"/>
    <x v="2"/>
    <n v="39"/>
    <x v="117"/>
    <n v="0.06"/>
    <s v="Regular Air"/>
    <n v="480.57"/>
    <n v="105.29"/>
    <n v="10.119999999999999"/>
    <x v="117"/>
    <s v="Saskachewan"/>
    <x v="3"/>
    <x v="1"/>
    <x v="1"/>
    <s v="Office Furnishings"/>
    <x v="117"/>
    <s v="Large Box"/>
    <n v="0.79"/>
    <d v="2009-07-06T00:00:00"/>
  </r>
  <r>
    <n v="199"/>
    <n v="1314"/>
    <x v="110"/>
    <x v="4"/>
    <n v="4"/>
    <x v="118"/>
    <n v="0"/>
    <s v="Regular Air"/>
    <n v="-7.61"/>
    <n v="9.27"/>
    <n v="4.3899999999999997"/>
    <x v="118"/>
    <s v="British Columbia"/>
    <x v="1"/>
    <x v="1"/>
    <x v="0"/>
    <s v="Paper"/>
    <x v="118"/>
    <s v="Wrap Bag"/>
    <n v="0.38"/>
    <d v="2009-05-14T00:00:00"/>
  </r>
  <r>
    <n v="203"/>
    <n v="1344"/>
    <x v="111"/>
    <x v="0"/>
    <n v="15"/>
    <x v="119"/>
    <n v="0.06"/>
    <s v="Regular Air"/>
    <n v="-11.68"/>
    <n v="65.989999999999995"/>
    <n v="5.26"/>
    <x v="119"/>
    <s v="Nunavut"/>
    <x v="0"/>
    <x v="1"/>
    <x v="2"/>
    <s v="Telephones and Communication"/>
    <x v="119"/>
    <s v="Small Box"/>
    <n v="0.59"/>
    <d v="2012-04-22T00:00:00"/>
  </r>
  <r>
    <n v="205"/>
    <n v="1345"/>
    <x v="112"/>
    <x v="0"/>
    <n v="24"/>
    <x v="120"/>
    <n v="0.08"/>
    <s v="Delivery Truck"/>
    <n v="-120.85"/>
    <n v="100.98"/>
    <n v="35.840000000000003"/>
    <x v="120"/>
    <s v="Ontario"/>
    <x v="2"/>
    <x v="1"/>
    <x v="1"/>
    <s v="Bookcases"/>
    <x v="120"/>
    <s v="Jumbo Box"/>
    <n v="0.62"/>
    <d v="2012-10-31T00:00:00"/>
  </r>
  <r>
    <n v="207"/>
    <n v="1382"/>
    <x v="113"/>
    <x v="0"/>
    <n v="5"/>
    <x v="121"/>
    <n v="0.06"/>
    <s v="Regular Air"/>
    <n v="-107.1"/>
    <n v="20.99"/>
    <n v="2.5"/>
    <x v="121"/>
    <s v="Newfoundland"/>
    <x v="6"/>
    <x v="2"/>
    <x v="2"/>
    <s v="Telephones and Communication"/>
    <x v="121"/>
    <s v="Wrap Bag"/>
    <n v="0.81"/>
    <d v="2010-08-20T00:00:00"/>
  </r>
  <r>
    <n v="210"/>
    <n v="1383"/>
    <x v="114"/>
    <x v="2"/>
    <n v="43"/>
    <x v="122"/>
    <n v="7.0000000000000007E-2"/>
    <s v="Regular Air"/>
    <n v="5616.08"/>
    <n v="415.88"/>
    <n v="11.37"/>
    <x v="122"/>
    <s v="Alberta"/>
    <x v="1"/>
    <x v="3"/>
    <x v="0"/>
    <s v="Storage &amp; Organization"/>
    <x v="122"/>
    <s v="Small Box"/>
    <n v="0.56999999999999995"/>
    <d v="2010-04-27T00:00:00"/>
  </r>
  <r>
    <n v="211"/>
    <n v="1411"/>
    <x v="115"/>
    <x v="2"/>
    <n v="39"/>
    <x v="123"/>
    <n v="0.09"/>
    <s v="Delivery Truck"/>
    <n v="-459.86"/>
    <n v="160.97999999999999"/>
    <n v="35.020000000000003"/>
    <x v="123"/>
    <s v="Newfoundland"/>
    <x v="6"/>
    <x v="0"/>
    <x v="1"/>
    <s v="Bookcases"/>
    <x v="123"/>
    <s v="Jumbo Box"/>
    <n v="0.72"/>
    <d v="2009-12-21T00:00:00"/>
  </r>
  <r>
    <n v="215"/>
    <n v="1414"/>
    <x v="116"/>
    <x v="3"/>
    <n v="44"/>
    <x v="124"/>
    <n v="7.0000000000000007E-2"/>
    <s v="Delivery Truck"/>
    <n v="-993.35"/>
    <n v="105.49"/>
    <n v="41.64"/>
    <x v="124"/>
    <s v="British Columbia"/>
    <x v="1"/>
    <x v="0"/>
    <x v="1"/>
    <s v="Tables"/>
    <x v="124"/>
    <s v="Jumbo Box"/>
    <n v="0.75"/>
    <d v="2011-08-15T00:00:00"/>
  </r>
  <r>
    <n v="216"/>
    <n v="1440"/>
    <x v="117"/>
    <x v="0"/>
    <n v="41"/>
    <x v="125"/>
    <n v="0.01"/>
    <s v="Regular Air"/>
    <n v="52.47"/>
    <n v="17.670000000000002"/>
    <n v="8.99"/>
    <x v="125"/>
    <s v="Manitoba"/>
    <x v="3"/>
    <x v="0"/>
    <x v="1"/>
    <s v="Office Furnishings"/>
    <x v="125"/>
    <s v="Small Pack"/>
    <n v="0.47"/>
    <d v="2011-08-11T00:00:00"/>
  </r>
  <r>
    <n v="217"/>
    <n v="1444"/>
    <x v="118"/>
    <x v="4"/>
    <n v="32"/>
    <x v="126"/>
    <n v="0.06"/>
    <s v="Express Air"/>
    <n v="8249.86"/>
    <n v="699.99"/>
    <n v="24.49"/>
    <x v="126"/>
    <s v="Nova Scotia"/>
    <x v="6"/>
    <x v="2"/>
    <x v="2"/>
    <s v="Copiers and Fax"/>
    <x v="126"/>
    <s v="Large Box"/>
    <n v="0.41"/>
    <d v="2009-12-07T00:00:00"/>
  </r>
  <r>
    <n v="222"/>
    <n v="1445"/>
    <x v="119"/>
    <x v="4"/>
    <n v="3"/>
    <x v="127"/>
    <n v="0"/>
    <s v="Regular Air"/>
    <n v="-20.55"/>
    <n v="420.98"/>
    <n v="19.989999999999998"/>
    <x v="127"/>
    <s v="British Columbia"/>
    <x v="1"/>
    <x v="1"/>
    <x v="0"/>
    <s v="Binders and Binder Accessories"/>
    <x v="127"/>
    <s v="Small Box"/>
    <n v="0.35"/>
    <d v="2011-01-12T00:00:00"/>
  </r>
  <r>
    <n v="224"/>
    <n v="1447"/>
    <x v="120"/>
    <x v="2"/>
    <n v="40"/>
    <x v="128"/>
    <n v="7.0000000000000007E-2"/>
    <s v="Regular Air"/>
    <n v="239.4"/>
    <n v="65.989999999999995"/>
    <n v="8.99"/>
    <x v="128"/>
    <s v="Quebec"/>
    <x v="4"/>
    <x v="3"/>
    <x v="2"/>
    <s v="Telephones and Communication"/>
    <x v="128"/>
    <s v="Small Box"/>
    <n v="0.59"/>
    <d v="2012-10-17T00:00:00"/>
  </r>
  <r>
    <n v="225"/>
    <n v="1504"/>
    <x v="121"/>
    <x v="4"/>
    <n v="31"/>
    <x v="129"/>
    <n v="0.08"/>
    <s v="Regular Air"/>
    <n v="64.22"/>
    <n v="10.01"/>
    <n v="1.99"/>
    <x v="129"/>
    <s v="New Brunswick"/>
    <x v="6"/>
    <x v="1"/>
    <x v="2"/>
    <s v="Computer Peripherals"/>
    <x v="129"/>
    <s v="Small Pack"/>
    <n v="0.41"/>
    <d v="2012-08-28T00:00:00"/>
  </r>
  <r>
    <n v="226"/>
    <n v="1507"/>
    <x v="0"/>
    <x v="4"/>
    <n v="29"/>
    <x v="130"/>
    <n v="0.09"/>
    <s v="Regular Air"/>
    <n v="126.62"/>
    <n v="152.47999999999999"/>
    <n v="4"/>
    <x v="130"/>
    <s v="Ontario"/>
    <x v="2"/>
    <x v="2"/>
    <x v="2"/>
    <s v="Computer Peripherals"/>
    <x v="130"/>
    <s v="Small Box"/>
    <n v="0.79"/>
    <d v="2010-10-15T00:00:00"/>
  </r>
  <r>
    <n v="227"/>
    <n v="1537"/>
    <x v="98"/>
    <x v="1"/>
    <n v="5"/>
    <x v="131"/>
    <n v="7.0000000000000007E-2"/>
    <s v="Regular Air"/>
    <n v="-20.3"/>
    <n v="2.16"/>
    <n v="6.05"/>
    <x v="131"/>
    <s v="Quebec"/>
    <x v="4"/>
    <x v="1"/>
    <x v="0"/>
    <s v="Binders and Binder Accessories"/>
    <x v="131"/>
    <s v="Small Box"/>
    <n v="0.37"/>
    <d v="2012-02-14T00:00:00"/>
  </r>
  <r>
    <n v="228"/>
    <n v="1538"/>
    <x v="57"/>
    <x v="1"/>
    <n v="15"/>
    <x v="132"/>
    <n v="0"/>
    <s v="Regular Air"/>
    <n v="149.82"/>
    <n v="95.99"/>
    <n v="4.9000000000000004"/>
    <x v="132"/>
    <s v="Ontario"/>
    <x v="2"/>
    <x v="1"/>
    <x v="2"/>
    <s v="Telephones and Communication"/>
    <x v="132"/>
    <s v="Small Box"/>
    <n v="0.56000000000000005"/>
    <d v="2011-06-18T00:00:00"/>
  </r>
  <r>
    <n v="229"/>
    <n v="1539"/>
    <x v="122"/>
    <x v="0"/>
    <n v="33"/>
    <x v="133"/>
    <n v="0.1"/>
    <s v="Regular Air"/>
    <n v="-172.88"/>
    <n v="15.99"/>
    <n v="13.18"/>
    <x v="133"/>
    <s v="Nunavut"/>
    <x v="0"/>
    <x v="1"/>
    <x v="0"/>
    <s v="Binders and Binder Accessories"/>
    <x v="133"/>
    <s v="Small Box"/>
    <n v="0.37"/>
    <d v="2011-03-11T00:00:00"/>
  </r>
  <r>
    <n v="231"/>
    <n v="1540"/>
    <x v="86"/>
    <x v="2"/>
    <n v="30"/>
    <x v="134"/>
    <n v="0.09"/>
    <s v="Regular Air"/>
    <n v="5.76"/>
    <n v="2.88"/>
    <n v="0.7"/>
    <x v="134"/>
    <s v="Nunavut"/>
    <x v="0"/>
    <x v="2"/>
    <x v="0"/>
    <s v="Pens &amp; Art Supplies"/>
    <x v="134"/>
    <s v="Wrap Bag"/>
    <n v="0.56000000000000005"/>
    <d v="2012-08-06T00:00:00"/>
  </r>
  <r>
    <n v="232"/>
    <n v="1542"/>
    <x v="123"/>
    <x v="4"/>
    <n v="47"/>
    <x v="135"/>
    <n v="0.06"/>
    <s v="Regular Air"/>
    <n v="586.92999999999995"/>
    <n v="48.58"/>
    <n v="3.99"/>
    <x v="135"/>
    <s v="Manitoba"/>
    <x v="3"/>
    <x v="3"/>
    <x v="0"/>
    <s v="Appliances"/>
    <x v="135"/>
    <s v="Small Box"/>
    <n v="0.56000000000000005"/>
    <d v="2010-09-16T00:00:00"/>
  </r>
  <r>
    <n v="234"/>
    <n v="1573"/>
    <x v="124"/>
    <x v="2"/>
    <n v="13"/>
    <x v="136"/>
    <n v="0.09"/>
    <s v="Delivery Truck"/>
    <n v="-226.45"/>
    <n v="60.89"/>
    <n v="32.409999999999997"/>
    <x v="136"/>
    <s v="Ontario"/>
    <x v="2"/>
    <x v="0"/>
    <x v="1"/>
    <s v="Chairs &amp; Chairmats"/>
    <x v="136"/>
    <s v="Jumbo Drum"/>
    <n v="0.56000000000000005"/>
    <d v="2012-12-29T00:00:00"/>
  </r>
  <r>
    <n v="235"/>
    <n v="1575"/>
    <x v="125"/>
    <x v="4"/>
    <n v="26"/>
    <x v="137"/>
    <n v="0.05"/>
    <s v="Regular Air"/>
    <n v="56.28"/>
    <n v="4.9800000000000004"/>
    <n v="0.8"/>
    <x v="137"/>
    <s v="Yukon"/>
    <x v="5"/>
    <x v="0"/>
    <x v="0"/>
    <s v="Paper"/>
    <x v="137"/>
    <s v="Wrap Bag"/>
    <n v="0.36"/>
    <d v="2011-09-14T00:00:00"/>
  </r>
  <r>
    <n v="237"/>
    <n v="1600"/>
    <x v="126"/>
    <x v="4"/>
    <n v="32"/>
    <x v="138"/>
    <n v="0.1"/>
    <s v="Regular Air"/>
    <n v="-45.99"/>
    <n v="9.65"/>
    <n v="6.22"/>
    <x v="138"/>
    <s v="Ontario"/>
    <x v="2"/>
    <x v="1"/>
    <x v="1"/>
    <s v="Office Furnishings"/>
    <x v="138"/>
    <s v="Small Box"/>
    <n v="0.55000000000000004"/>
    <d v="2010-03-04T00:00:00"/>
  </r>
  <r>
    <n v="240"/>
    <n v="1637"/>
    <x v="127"/>
    <x v="1"/>
    <n v="36"/>
    <x v="139"/>
    <n v="0.1"/>
    <s v="Express Air"/>
    <n v="-1191.1300000000001"/>
    <n v="35.479999999999997"/>
    <n v="35"/>
    <x v="139"/>
    <s v="Yukon"/>
    <x v="5"/>
    <x v="1"/>
    <x v="0"/>
    <s v="Storage &amp; Organization"/>
    <x v="139"/>
    <s v="Large Box"/>
    <n v="0.85"/>
    <d v="2011-02-07T00:00:00"/>
  </r>
  <r>
    <n v="243"/>
    <n v="1639"/>
    <x v="128"/>
    <x v="1"/>
    <n v="24"/>
    <x v="140"/>
    <n v="0.09"/>
    <s v="Regular Air"/>
    <n v="-62.2"/>
    <n v="6.78"/>
    <n v="6.18"/>
    <x v="140"/>
    <s v="Ontario"/>
    <x v="2"/>
    <x v="2"/>
    <x v="0"/>
    <s v="Paper"/>
    <x v="140"/>
    <s v="Small Box"/>
    <n v="0.39"/>
    <d v="2011-08-20T00:00:00"/>
  </r>
  <r>
    <n v="244"/>
    <n v="1665"/>
    <x v="129"/>
    <x v="2"/>
    <n v="26"/>
    <x v="141"/>
    <n v="0.05"/>
    <s v="Regular Air"/>
    <n v="149.16999999999999"/>
    <n v="35.99"/>
    <n v="1.1000000000000001"/>
    <x v="141"/>
    <s v="Ontario"/>
    <x v="2"/>
    <x v="1"/>
    <x v="2"/>
    <s v="Telephones and Communication"/>
    <x v="141"/>
    <s v="Small Box"/>
    <n v="0.55000000000000004"/>
    <d v="2009-05-09T00:00:00"/>
  </r>
  <r>
    <n v="245"/>
    <n v="1666"/>
    <x v="130"/>
    <x v="3"/>
    <n v="19"/>
    <x v="142"/>
    <n v="0.09"/>
    <s v="Express Air"/>
    <n v="1996.68"/>
    <n v="315.98"/>
    <n v="19.989999999999998"/>
    <x v="142"/>
    <s v="Saskachewan"/>
    <x v="3"/>
    <x v="1"/>
    <x v="0"/>
    <s v="Binders and Binder Accessories"/>
    <x v="142"/>
    <s v="Small Box"/>
    <n v="0.38"/>
    <d v="2011-10-19T00:00:00"/>
  </r>
  <r>
    <n v="246"/>
    <n v="1699"/>
    <x v="131"/>
    <x v="3"/>
    <n v="40"/>
    <x v="143"/>
    <n v="0.05"/>
    <s v="Regular Air"/>
    <n v="39"/>
    <n v="11.09"/>
    <n v="5.25"/>
    <x v="143"/>
    <s v="Nova Scotia"/>
    <x v="6"/>
    <x v="1"/>
    <x v="0"/>
    <s v="Envelopes"/>
    <x v="143"/>
    <s v="Small Box"/>
    <n v="0.36"/>
    <d v="2011-03-23T00:00:00"/>
  </r>
  <r>
    <n v="247"/>
    <n v="1701"/>
    <x v="132"/>
    <x v="2"/>
    <n v="49"/>
    <x v="144"/>
    <n v="0.01"/>
    <s v="Regular Air"/>
    <n v="902.62"/>
    <n v="40.98"/>
    <n v="1.99"/>
    <x v="144"/>
    <s v="Ontario"/>
    <x v="2"/>
    <x v="3"/>
    <x v="2"/>
    <s v="Computer Peripherals"/>
    <x v="144"/>
    <s v="Small Pack"/>
    <n v="0.44"/>
    <d v="2012-05-20T00:00:00"/>
  </r>
  <r>
    <n v="249"/>
    <n v="1702"/>
    <x v="133"/>
    <x v="2"/>
    <n v="23"/>
    <x v="145"/>
    <n v="0.06"/>
    <s v="Regular Air"/>
    <n v="4.9000000000000004"/>
    <n v="2.84"/>
    <n v="0.93"/>
    <x v="145"/>
    <s v="Nunavut"/>
    <x v="0"/>
    <x v="2"/>
    <x v="0"/>
    <s v="Pens &amp; Art Supplies"/>
    <x v="145"/>
    <s v="Wrap Bag"/>
    <n v="0.54"/>
    <d v="2011-05-07T00:00:00"/>
  </r>
  <r>
    <n v="255"/>
    <n v="1767"/>
    <x v="134"/>
    <x v="2"/>
    <n v="10"/>
    <x v="146"/>
    <n v="0.05"/>
    <s v="Regular Air"/>
    <n v="-7.76"/>
    <n v="4.71"/>
    <n v="0.7"/>
    <x v="146"/>
    <s v="Alberta"/>
    <x v="1"/>
    <x v="1"/>
    <x v="0"/>
    <s v="Rubber Bands"/>
    <x v="146"/>
    <s v="Wrap Bag"/>
    <n v="0.8"/>
    <d v="2011-03-15T00:00:00"/>
  </r>
  <r>
    <n v="257"/>
    <n v="1793"/>
    <x v="135"/>
    <x v="1"/>
    <n v="36"/>
    <x v="147"/>
    <n v="0.03"/>
    <s v="Regular Air"/>
    <n v="-71.900000000000006"/>
    <n v="6.28"/>
    <n v="5.36"/>
    <x v="147"/>
    <s v="Ontario"/>
    <x v="2"/>
    <x v="2"/>
    <x v="0"/>
    <s v="Binders and Binder Accessories"/>
    <x v="147"/>
    <s v="Small Box"/>
    <n v="0.4"/>
    <d v="2012-07-11T00:00:00"/>
  </r>
  <r>
    <n v="258"/>
    <n v="1796"/>
    <x v="136"/>
    <x v="2"/>
    <n v="43"/>
    <x v="148"/>
    <n v="7.0000000000000007E-2"/>
    <s v="Regular Air"/>
    <n v="-125.41"/>
    <n v="4.13"/>
    <n v="5.04"/>
    <x v="148"/>
    <s v="New Brunswick"/>
    <x v="6"/>
    <x v="1"/>
    <x v="0"/>
    <s v="Binders and Binder Accessories"/>
    <x v="148"/>
    <s v="Small Box"/>
    <n v="0.38"/>
    <d v="2012-11-20T00:00:00"/>
  </r>
  <r>
    <n v="259"/>
    <n v="1799"/>
    <x v="137"/>
    <x v="1"/>
    <n v="10"/>
    <x v="149"/>
    <n v="0.06"/>
    <s v="Delivery Truck"/>
    <n v="-127.3"/>
    <n v="113.98"/>
    <n v="30"/>
    <x v="149"/>
    <s v="British Columbia"/>
    <x v="1"/>
    <x v="0"/>
    <x v="1"/>
    <s v="Chairs &amp; Chairmats"/>
    <x v="149"/>
    <s v="Jumbo Drum"/>
    <n v="0.69"/>
    <d v="2009-03-08T00:00:00"/>
  </r>
  <r>
    <n v="261"/>
    <n v="1824"/>
    <x v="138"/>
    <x v="3"/>
    <n v="39"/>
    <x v="150"/>
    <n v="0.06"/>
    <s v="Regular Air"/>
    <n v="3116.54"/>
    <n v="276.2"/>
    <n v="24.49"/>
    <x v="150"/>
    <s v="Alberta"/>
    <x v="1"/>
    <x v="1"/>
    <x v="1"/>
    <s v="Chairs &amp; Chairmats"/>
    <x v="150"/>
    <s v="Large Box"/>
    <m/>
    <d v="2009-05-05T00:00:00"/>
  </r>
  <r>
    <n v="264"/>
    <n v="1826"/>
    <x v="111"/>
    <x v="1"/>
    <n v="5"/>
    <x v="151"/>
    <n v="0.09"/>
    <s v="Regular Air"/>
    <n v="-14.35"/>
    <n v="4.9800000000000004"/>
    <n v="4.75"/>
    <x v="151"/>
    <s v="Ontario"/>
    <x v="2"/>
    <x v="1"/>
    <x v="0"/>
    <s v="Paper"/>
    <x v="151"/>
    <s v="Small Box"/>
    <n v="0.36"/>
    <d v="2012-04-16T00:00:00"/>
  </r>
  <r>
    <n v="265"/>
    <n v="1829"/>
    <x v="129"/>
    <x v="2"/>
    <n v="48"/>
    <x v="152"/>
    <n v="7.0000000000000007E-2"/>
    <s v="Regular Air"/>
    <n v="6.73"/>
    <n v="2.78"/>
    <n v="1.49"/>
    <x v="152"/>
    <s v="Saskachewan"/>
    <x v="3"/>
    <x v="0"/>
    <x v="0"/>
    <s v="Binders and Binder Accessories"/>
    <x v="152"/>
    <s v="Small Box"/>
    <n v="0.36"/>
    <d v="2009-05-08T00:00:00"/>
  </r>
  <r>
    <n v="267"/>
    <n v="1856"/>
    <x v="33"/>
    <x v="1"/>
    <n v="24"/>
    <x v="153"/>
    <n v="0.08"/>
    <s v="Regular Air"/>
    <n v="-712.14"/>
    <n v="60.98"/>
    <n v="49"/>
    <x v="153"/>
    <s v="British Columbia"/>
    <x v="1"/>
    <x v="2"/>
    <x v="0"/>
    <s v="Appliances"/>
    <x v="153"/>
    <s v="Large Box"/>
    <n v="0.59"/>
    <d v="2012-03-21T00:00:00"/>
  </r>
  <r>
    <n v="270"/>
    <n v="1857"/>
    <x v="139"/>
    <x v="2"/>
    <n v="37"/>
    <x v="154"/>
    <n v="7.0000000000000007E-2"/>
    <s v="Regular Air"/>
    <n v="20"/>
    <n v="5.58"/>
    <n v="1.99"/>
    <x v="154"/>
    <s v="Alberta"/>
    <x v="1"/>
    <x v="3"/>
    <x v="0"/>
    <s v="Pens &amp; Art Supplies"/>
    <x v="154"/>
    <s v="Wrap Bag"/>
    <n v="0.46"/>
    <d v="2010-01-13T00:00:00"/>
  </r>
  <r>
    <n v="271"/>
    <n v="1863"/>
    <x v="140"/>
    <x v="1"/>
    <n v="26"/>
    <x v="155"/>
    <n v="0.08"/>
    <s v="Delivery Truck"/>
    <n v="-1131.5999999999999"/>
    <n v="95.95"/>
    <n v="74.349999999999994"/>
    <x v="155"/>
    <s v="Alberta"/>
    <x v="1"/>
    <x v="0"/>
    <x v="1"/>
    <s v="Chairs &amp; Chairmats"/>
    <x v="155"/>
    <s v="Jumbo Drum"/>
    <n v="0.56999999999999995"/>
    <d v="2010-09-23T00:00:00"/>
  </r>
  <r>
    <n v="272"/>
    <n v="1888"/>
    <x v="141"/>
    <x v="1"/>
    <n v="38"/>
    <x v="156"/>
    <n v="0"/>
    <s v="Delivery Truck"/>
    <n v="-1249.3900000000001"/>
    <n v="31.76"/>
    <n v="45.51"/>
    <x v="156"/>
    <s v="Yukon"/>
    <x v="5"/>
    <x v="1"/>
    <x v="1"/>
    <s v="Tables"/>
    <x v="156"/>
    <s v="Jumbo Box"/>
    <n v="0.65"/>
    <d v="2010-10-30T00:00:00"/>
  </r>
  <r>
    <n v="275"/>
    <n v="1892"/>
    <x v="32"/>
    <x v="0"/>
    <n v="47"/>
    <x v="157"/>
    <n v="0.05"/>
    <s v="Regular Air"/>
    <n v="-152.52000000000001"/>
    <n v="3.98"/>
    <n v="5.26"/>
    <x v="157"/>
    <s v="Ontario"/>
    <x v="2"/>
    <x v="0"/>
    <x v="0"/>
    <s v="Binders and Binder Accessories"/>
    <x v="157"/>
    <s v="Small Box"/>
    <n v="0.38"/>
    <d v="2009-03-29T00:00:00"/>
  </r>
  <r>
    <n v="278"/>
    <n v="1921"/>
    <x v="142"/>
    <x v="4"/>
    <n v="24"/>
    <x v="158"/>
    <n v="0.05"/>
    <s v="Delivery Truck"/>
    <n v="541.47"/>
    <n v="328.14"/>
    <n v="91.05"/>
    <x v="158"/>
    <s v="Ontario"/>
    <x v="2"/>
    <x v="0"/>
    <x v="0"/>
    <s v="Appliances"/>
    <x v="158"/>
    <s v="Jumbo Drum"/>
    <n v="0.56999999999999995"/>
    <d v="2009-01-19T00:00:00"/>
  </r>
  <r>
    <n v="279"/>
    <n v="1925"/>
    <x v="143"/>
    <x v="3"/>
    <n v="40"/>
    <x v="159"/>
    <n v="0.02"/>
    <s v="Regular Air"/>
    <n v="292.49"/>
    <n v="22.98"/>
    <n v="1.99"/>
    <x v="159"/>
    <s v="Saskachewan"/>
    <x v="3"/>
    <x v="1"/>
    <x v="2"/>
    <s v="Computer Peripherals"/>
    <x v="159"/>
    <s v="Small Pack"/>
    <n v="0.46"/>
    <d v="2012-03-06T00:00:00"/>
  </r>
  <r>
    <n v="281"/>
    <n v="1952"/>
    <x v="144"/>
    <x v="2"/>
    <n v="24"/>
    <x v="160"/>
    <n v="0.04"/>
    <s v="Delivery Truck"/>
    <n v="-715.78"/>
    <n v="296.18"/>
    <n v="54.12"/>
    <x v="160"/>
    <s v="Ontario"/>
    <x v="2"/>
    <x v="1"/>
    <x v="1"/>
    <s v="Tables"/>
    <x v="160"/>
    <s v="Jumbo Box"/>
    <n v="0.76"/>
    <d v="2009-03-15T00:00:00"/>
  </r>
  <r>
    <n v="282"/>
    <n v="1953"/>
    <x v="145"/>
    <x v="4"/>
    <n v="13"/>
    <x v="161"/>
    <n v="0.06"/>
    <s v="Regular Air"/>
    <n v="19.59"/>
    <n v="10.91"/>
    <n v="2.99"/>
    <x v="161"/>
    <s v="Ontario"/>
    <x v="2"/>
    <x v="0"/>
    <x v="0"/>
    <s v="Binders and Binder Accessories"/>
    <x v="161"/>
    <s v="Small Box"/>
    <n v="0.38"/>
    <d v="2010-11-29T00:00:00"/>
  </r>
  <r>
    <n v="283"/>
    <n v="1985"/>
    <x v="146"/>
    <x v="1"/>
    <n v="33"/>
    <x v="162"/>
    <n v="0.05"/>
    <s v="Delivery Truck"/>
    <n v="4407.4399999999996"/>
    <n v="535.64"/>
    <n v="14.7"/>
    <x v="162"/>
    <s v="Ontario"/>
    <x v="2"/>
    <x v="2"/>
    <x v="2"/>
    <s v="Office Machines"/>
    <x v="162"/>
    <s v="Jumbo Drum"/>
    <n v="0.59"/>
    <d v="2009-09-03T00:00:00"/>
  </r>
  <r>
    <n v="285"/>
    <n v="1988"/>
    <x v="147"/>
    <x v="1"/>
    <n v="9"/>
    <x v="163"/>
    <n v="0.04"/>
    <s v="Regular Air"/>
    <n v="-16.989999999999998"/>
    <n v="13.48"/>
    <n v="4.51"/>
    <x v="163"/>
    <s v="Quebec"/>
    <x v="4"/>
    <x v="1"/>
    <x v="0"/>
    <s v="Storage &amp; Organization"/>
    <x v="163"/>
    <s v="Small Box"/>
    <n v="0.59"/>
    <d v="2011-10-07T00:00:00"/>
  </r>
  <r>
    <n v="286"/>
    <n v="1991"/>
    <x v="148"/>
    <x v="1"/>
    <n v="27"/>
    <x v="164"/>
    <n v="0.09"/>
    <s v="Regular Air"/>
    <n v="921.7"/>
    <n v="136.97999999999999"/>
    <n v="24.49"/>
    <x v="164"/>
    <s v="Ontario"/>
    <x v="2"/>
    <x v="1"/>
    <x v="1"/>
    <s v="Office Furnishings"/>
    <x v="164"/>
    <s v="Large Box"/>
    <n v="0.59"/>
    <d v="2012-09-06T00:00:00"/>
  </r>
  <r>
    <n v="288"/>
    <n v="2020"/>
    <x v="149"/>
    <x v="4"/>
    <n v="42"/>
    <x v="165"/>
    <n v="0.03"/>
    <s v="Regular Air"/>
    <n v="-188.77"/>
    <n v="5.0199999999999996"/>
    <n v="5.14"/>
    <x v="165"/>
    <s v="Ontario"/>
    <x v="2"/>
    <x v="2"/>
    <x v="2"/>
    <s v="Computer Peripherals"/>
    <x v="165"/>
    <s v="Small Pack"/>
    <n v="0.79"/>
    <d v="2010-06-22T00:00:00"/>
  </r>
  <r>
    <n v="289"/>
    <n v="2022"/>
    <x v="150"/>
    <x v="3"/>
    <n v="45"/>
    <x v="166"/>
    <n v="0"/>
    <s v="Regular Air"/>
    <n v="-157.18"/>
    <n v="3.95"/>
    <n v="5.13"/>
    <x v="166"/>
    <s v="Ontario"/>
    <x v="2"/>
    <x v="1"/>
    <x v="0"/>
    <s v="Appliances"/>
    <x v="166"/>
    <s v="Small Box"/>
    <n v="0.59"/>
    <d v="2012-03-15T00:00:00"/>
  </r>
  <r>
    <n v="294"/>
    <n v="2050"/>
    <x v="151"/>
    <x v="1"/>
    <n v="16"/>
    <x v="167"/>
    <n v="0.06"/>
    <s v="Regular Air"/>
    <n v="5.27"/>
    <n v="2.89"/>
    <n v="0.99"/>
    <x v="167"/>
    <s v="New Brunswick"/>
    <x v="6"/>
    <x v="3"/>
    <x v="0"/>
    <s v="Labels"/>
    <x v="167"/>
    <s v="Small Box"/>
    <n v="0.38"/>
    <d v="2009-06-03T00:00:00"/>
  </r>
  <r>
    <n v="296"/>
    <n v="2052"/>
    <x v="152"/>
    <x v="2"/>
    <n v="23"/>
    <x v="168"/>
    <n v="0"/>
    <s v="Regular Air"/>
    <n v="-68.14"/>
    <n v="4.13"/>
    <n v="5.34"/>
    <x v="168"/>
    <s v="Yukon"/>
    <x v="5"/>
    <x v="0"/>
    <x v="0"/>
    <s v="Binders and Binder Accessories"/>
    <x v="168"/>
    <s v="Small Box"/>
    <n v="0.38"/>
    <d v="2012-04-14T00:00:00"/>
  </r>
  <r>
    <n v="297"/>
    <n v="2053"/>
    <x v="153"/>
    <x v="3"/>
    <n v="39"/>
    <x v="169"/>
    <n v="0.01"/>
    <s v="Delivery Truck"/>
    <n v="5603.95"/>
    <n v="500.98"/>
    <n v="126"/>
    <x v="169"/>
    <s v="Ontario"/>
    <x v="2"/>
    <x v="3"/>
    <x v="1"/>
    <s v="Chairs &amp; Chairmats"/>
    <x v="169"/>
    <s v="Jumbo Drum"/>
    <n v="0.6"/>
    <d v="2011-02-07T00:00:00"/>
  </r>
  <r>
    <n v="301"/>
    <n v="2055"/>
    <x v="154"/>
    <x v="3"/>
    <n v="7"/>
    <x v="170"/>
    <n v="0.05"/>
    <s v="Regular Air"/>
    <n v="-32.35"/>
    <n v="8.74"/>
    <n v="8.2899999999999991"/>
    <x v="170"/>
    <s v="Yukon"/>
    <x v="5"/>
    <x v="0"/>
    <x v="0"/>
    <s v="Envelopes"/>
    <x v="170"/>
    <s v="Small Box"/>
    <n v="0.38"/>
    <d v="2010-09-05T00:00:00"/>
  </r>
  <r>
    <n v="302"/>
    <n v="2084"/>
    <x v="155"/>
    <x v="2"/>
    <n v="16"/>
    <x v="171"/>
    <n v="0.01"/>
    <s v="Regular Air"/>
    <n v="94.97"/>
    <n v="40.99"/>
    <n v="17.48"/>
    <x v="171"/>
    <s v="Nova Scotia"/>
    <x v="6"/>
    <x v="1"/>
    <x v="0"/>
    <s v="Paper"/>
    <x v="171"/>
    <s v="Small Box"/>
    <n v="0.36"/>
    <d v="2010-03-18T00:00:00"/>
  </r>
  <r>
    <n v="310"/>
    <n v="2149"/>
    <x v="156"/>
    <x v="0"/>
    <n v="4"/>
    <x v="172"/>
    <n v="0.01"/>
    <s v="Regular Air"/>
    <n v="21.21"/>
    <n v="9.3800000000000008"/>
    <n v="4.93"/>
    <x v="172"/>
    <s v="New Brunswick"/>
    <x v="6"/>
    <x v="3"/>
    <x v="1"/>
    <s v="Office Furnishings"/>
    <x v="172"/>
    <s v="Small Box"/>
    <n v="0.56999999999999995"/>
    <d v="2010-03-16T00:00:00"/>
  </r>
  <r>
    <n v="311"/>
    <n v="2150"/>
    <x v="157"/>
    <x v="4"/>
    <n v="21"/>
    <x v="173"/>
    <n v="0.01"/>
    <s v="Delivery Truck"/>
    <n v="55.3"/>
    <n v="179.29"/>
    <n v="29.21"/>
    <x v="173"/>
    <s v="Quebec"/>
    <x v="4"/>
    <x v="1"/>
    <x v="1"/>
    <s v="Tables"/>
    <x v="173"/>
    <s v="Jumbo Box"/>
    <n v="0.76"/>
    <d v="2009-06-04T00:00:00"/>
  </r>
  <r>
    <n v="314"/>
    <n v="2208"/>
    <x v="51"/>
    <x v="1"/>
    <n v="7"/>
    <x v="174"/>
    <n v="7.0000000000000007E-2"/>
    <s v="Regular Air"/>
    <n v="-26.99"/>
    <n v="11.5"/>
    <n v="7.19"/>
    <x v="174"/>
    <s v="Nova Scotia"/>
    <x v="6"/>
    <x v="2"/>
    <x v="0"/>
    <s v="Binders and Binder Accessories"/>
    <x v="174"/>
    <s v="Small Box"/>
    <n v="0.4"/>
    <d v="2011-05-02T00:00:00"/>
  </r>
  <r>
    <n v="324"/>
    <n v="2240"/>
    <x v="158"/>
    <x v="1"/>
    <n v="17"/>
    <x v="175"/>
    <n v="0.01"/>
    <s v="Regular Air"/>
    <n v="16.48"/>
    <n v="10.64"/>
    <n v="5.16"/>
    <x v="175"/>
    <s v="Saskachewan"/>
    <x v="3"/>
    <x v="3"/>
    <x v="1"/>
    <s v="Office Furnishings"/>
    <x v="175"/>
    <s v="Small Box"/>
    <n v="0.56999999999999995"/>
    <d v="2012-03-06T00:00:00"/>
  </r>
  <r>
    <n v="327"/>
    <n v="2244"/>
    <x v="159"/>
    <x v="3"/>
    <n v="19"/>
    <x v="176"/>
    <n v="0.01"/>
    <s v="Express Air"/>
    <n v="21.47"/>
    <n v="3.8"/>
    <n v="1.49"/>
    <x v="176"/>
    <s v="Nova Scotia"/>
    <x v="6"/>
    <x v="3"/>
    <x v="0"/>
    <s v="Binders and Binder Accessories"/>
    <x v="176"/>
    <s v="Small Box"/>
    <n v="0.38"/>
    <d v="2010-01-10T00:00:00"/>
  </r>
  <r>
    <n v="328"/>
    <n v="2247"/>
    <x v="160"/>
    <x v="1"/>
    <n v="6"/>
    <x v="177"/>
    <n v="0.06"/>
    <s v="Delivery Truck"/>
    <n v="-4266.09"/>
    <n v="3502.14"/>
    <n v="8.73"/>
    <x v="177"/>
    <s v="Alberta"/>
    <x v="1"/>
    <x v="0"/>
    <x v="2"/>
    <s v="Office Machines"/>
    <x v="177"/>
    <s v="Jumbo Box"/>
    <n v="0.56999999999999995"/>
    <d v="2012-08-03T00:00:00"/>
  </r>
  <r>
    <n v="329"/>
    <n v="2272"/>
    <x v="161"/>
    <x v="2"/>
    <n v="39"/>
    <x v="178"/>
    <n v="0.08"/>
    <s v="Delivery Truck"/>
    <n v="-513.79"/>
    <n v="212.6"/>
    <n v="52.2"/>
    <x v="178"/>
    <s v="Ontario"/>
    <x v="2"/>
    <x v="3"/>
    <x v="1"/>
    <s v="Tables"/>
    <x v="178"/>
    <s v="Jumbo Box"/>
    <n v="0.64"/>
    <d v="2010-04-12T00:00:00"/>
  </r>
  <r>
    <n v="330"/>
    <n v="2275"/>
    <x v="162"/>
    <x v="1"/>
    <n v="49"/>
    <x v="179"/>
    <n v="0.08"/>
    <s v="Regular Air"/>
    <n v="41.67"/>
    <n v="6.08"/>
    <n v="1.17"/>
    <x v="179"/>
    <s v="Nunavut"/>
    <x v="0"/>
    <x v="0"/>
    <x v="0"/>
    <s v="Pens &amp; Art Supplies"/>
    <x v="179"/>
    <s v="Wrap Bag"/>
    <n v="0.56000000000000005"/>
    <d v="2012-10-22T00:00:00"/>
  </r>
  <r>
    <n v="333"/>
    <n v="2279"/>
    <x v="163"/>
    <x v="4"/>
    <n v="49"/>
    <x v="180"/>
    <n v="0"/>
    <s v="Delivery Truck"/>
    <n v="205.83"/>
    <n v="90.98"/>
    <n v="30"/>
    <x v="180"/>
    <s v="British Columbia"/>
    <x v="1"/>
    <x v="1"/>
    <x v="1"/>
    <s v="Chairs &amp; Chairmats"/>
    <x v="180"/>
    <s v="Jumbo Drum"/>
    <n v="0.61"/>
    <d v="2010-02-23T00:00:00"/>
  </r>
  <r>
    <n v="335"/>
    <n v="2305"/>
    <x v="105"/>
    <x v="2"/>
    <n v="33"/>
    <x v="181"/>
    <n v="0.1"/>
    <s v="Delivery Truck"/>
    <n v="-1578.26"/>
    <n v="100.98"/>
    <n v="57.38"/>
    <x v="181"/>
    <s v="British Columbia"/>
    <x v="1"/>
    <x v="2"/>
    <x v="1"/>
    <s v="Bookcases"/>
    <x v="181"/>
    <s v="Jumbo Box"/>
    <n v="0.78"/>
    <d v="2010-01-27T00:00:00"/>
  </r>
  <r>
    <n v="338"/>
    <n v="2306"/>
    <x v="164"/>
    <x v="2"/>
    <n v="15"/>
    <x v="182"/>
    <n v="0.05"/>
    <s v="Regular Air"/>
    <n v="-46.35"/>
    <n v="7.45"/>
    <n v="6.28"/>
    <x v="182"/>
    <s v="Manitoba"/>
    <x v="3"/>
    <x v="1"/>
    <x v="0"/>
    <s v="Binders and Binder Accessories"/>
    <x v="182"/>
    <s v="Small Box"/>
    <n v="0.4"/>
    <d v="2011-07-27T00:00:00"/>
  </r>
  <r>
    <n v="341"/>
    <n v="2311"/>
    <x v="165"/>
    <x v="2"/>
    <n v="31"/>
    <x v="183"/>
    <n v="0.01"/>
    <s v="Regular Air"/>
    <n v="94.96"/>
    <n v="40.89"/>
    <n v="18.98"/>
    <x v="183"/>
    <s v="British Columbia"/>
    <x v="1"/>
    <x v="2"/>
    <x v="1"/>
    <s v="Office Furnishings"/>
    <x v="183"/>
    <s v="Small Box"/>
    <n v="0.56999999999999995"/>
    <d v="2011-05-02T00:00:00"/>
  </r>
  <r>
    <n v="342"/>
    <n v="2339"/>
    <x v="166"/>
    <x v="0"/>
    <n v="12"/>
    <x v="184"/>
    <n v="0.09"/>
    <s v="Regular Air"/>
    <n v="-120.45"/>
    <n v="140.85"/>
    <n v="19.989999999999998"/>
    <x v="184"/>
    <s v="Prince Edward Island"/>
    <x v="6"/>
    <x v="0"/>
    <x v="0"/>
    <s v="Storage &amp; Organization"/>
    <x v="184"/>
    <s v="Small Box"/>
    <n v="0.73"/>
    <d v="2010-12-16T00:00:00"/>
  </r>
  <r>
    <n v="343"/>
    <n v="2341"/>
    <x v="167"/>
    <x v="0"/>
    <n v="29"/>
    <x v="185"/>
    <n v="0.09"/>
    <s v="Regular Air"/>
    <n v="-58.25"/>
    <n v="5.78"/>
    <n v="4.96"/>
    <x v="185"/>
    <s v="Yukon"/>
    <x v="5"/>
    <x v="0"/>
    <x v="0"/>
    <s v="Paper"/>
    <x v="185"/>
    <s v="Small Box"/>
    <n v="0.36"/>
    <d v="2010-06-05T00:00:00"/>
  </r>
  <r>
    <n v="344"/>
    <n v="2368"/>
    <x v="168"/>
    <x v="3"/>
    <n v="36"/>
    <x v="186"/>
    <n v="0.08"/>
    <s v="Regular Air"/>
    <n v="-229.67"/>
    <n v="14.81"/>
    <n v="13.32"/>
    <x v="186"/>
    <s v="Ontario"/>
    <x v="2"/>
    <x v="3"/>
    <x v="0"/>
    <s v="Appliances"/>
    <x v="186"/>
    <s v="Small Box"/>
    <n v="0.43"/>
    <d v="2010-08-21T00:00:00"/>
  </r>
  <r>
    <n v="348"/>
    <n v="2374"/>
    <x v="169"/>
    <x v="1"/>
    <n v="21"/>
    <x v="187"/>
    <n v="0.01"/>
    <s v="Express Air"/>
    <n v="-72.7"/>
    <n v="2.84"/>
    <n v="5.44"/>
    <x v="187"/>
    <s v="Quebec"/>
    <x v="4"/>
    <x v="3"/>
    <x v="0"/>
    <s v="Binders and Binder Accessories"/>
    <x v="187"/>
    <s v="Small Box"/>
    <n v="0.36"/>
    <d v="2010-10-30T00:00:00"/>
  </r>
  <r>
    <n v="350"/>
    <n v="2436"/>
    <x v="170"/>
    <x v="1"/>
    <n v="14"/>
    <x v="188"/>
    <n v="7.0000000000000007E-2"/>
    <s v="Express Air"/>
    <n v="83.24"/>
    <n v="22.84"/>
    <n v="5.47"/>
    <x v="188"/>
    <s v="Yukon"/>
    <x v="5"/>
    <x v="1"/>
    <x v="0"/>
    <s v="Paper"/>
    <x v="188"/>
    <s v="Small Box"/>
    <n v="0.39"/>
    <d v="2011-09-13T00:00:00"/>
  </r>
  <r>
    <n v="351"/>
    <n v="2438"/>
    <x v="171"/>
    <x v="2"/>
    <n v="20"/>
    <x v="189"/>
    <n v="0.06"/>
    <s v="Regular Air"/>
    <n v="8.9"/>
    <n v="14.48"/>
    <n v="6.46"/>
    <x v="189"/>
    <s v="British Columbia"/>
    <x v="1"/>
    <x v="1"/>
    <x v="0"/>
    <s v="Binders and Binder Accessories"/>
    <x v="189"/>
    <s v="Small Box"/>
    <n v="0.38"/>
    <d v="2010-07-17T00:00:00"/>
  </r>
  <r>
    <n v="356"/>
    <n v="2497"/>
    <x v="172"/>
    <x v="3"/>
    <n v="21"/>
    <x v="190"/>
    <n v="0.06"/>
    <s v="Regular Air"/>
    <n v="636.03"/>
    <n v="205.99"/>
    <n v="5.26"/>
    <x v="190"/>
    <s v="Manitoba"/>
    <x v="3"/>
    <x v="1"/>
    <x v="2"/>
    <s v="Telephones and Communication"/>
    <x v="190"/>
    <s v="Small Box"/>
    <n v="0.56000000000000005"/>
    <d v="2012-08-28T00:00:00"/>
  </r>
  <r>
    <n v="357"/>
    <n v="2500"/>
    <x v="173"/>
    <x v="2"/>
    <n v="5"/>
    <x v="191"/>
    <n v="0.04"/>
    <s v="Regular Air"/>
    <n v="-25.56"/>
    <n v="3.36"/>
    <n v="6.27"/>
    <x v="191"/>
    <s v="Yukon"/>
    <x v="5"/>
    <x v="0"/>
    <x v="0"/>
    <s v="Binders and Binder Accessories"/>
    <x v="191"/>
    <s v="Small Box"/>
    <n v="0.4"/>
    <d v="2012-08-16T00:00:00"/>
  </r>
  <r>
    <n v="362"/>
    <n v="2532"/>
    <x v="174"/>
    <x v="2"/>
    <n v="39"/>
    <x v="192"/>
    <n v="0.03"/>
    <s v="Regular Air"/>
    <n v="140.01"/>
    <n v="7.31"/>
    <n v="0.49"/>
    <x v="192"/>
    <s v="Nunavut"/>
    <x v="0"/>
    <x v="1"/>
    <x v="0"/>
    <s v="Labels"/>
    <x v="192"/>
    <s v="Small Box"/>
    <n v="0.38"/>
    <d v="2011-10-11T00:00:00"/>
  </r>
  <r>
    <n v="364"/>
    <n v="2535"/>
    <x v="175"/>
    <x v="0"/>
    <n v="6"/>
    <x v="193"/>
    <n v="0.08"/>
    <s v="Regular Air"/>
    <n v="-29.71"/>
    <n v="14.48"/>
    <n v="1.99"/>
    <x v="193"/>
    <s v="Yukon"/>
    <x v="5"/>
    <x v="1"/>
    <x v="2"/>
    <s v="Computer Peripherals"/>
    <x v="193"/>
    <s v="Small Pack"/>
    <n v="0.49"/>
    <d v="2010-05-26T00:00:00"/>
  </r>
  <r>
    <n v="367"/>
    <n v="2562"/>
    <x v="176"/>
    <x v="3"/>
    <n v="28"/>
    <x v="194"/>
    <n v="0.02"/>
    <s v="Regular Air"/>
    <n v="-32.03"/>
    <n v="2.12"/>
    <n v="1.99"/>
    <x v="194"/>
    <s v="Yukon"/>
    <x v="5"/>
    <x v="3"/>
    <x v="2"/>
    <s v="Computer Peripherals"/>
    <x v="194"/>
    <s v="Small Pack"/>
    <n v="0.55000000000000004"/>
    <d v="2012-08-03T00:00:00"/>
  </r>
  <r>
    <n v="370"/>
    <n v="2563"/>
    <x v="177"/>
    <x v="1"/>
    <n v="12"/>
    <x v="195"/>
    <n v="0.04"/>
    <s v="Regular Air"/>
    <n v="8.34"/>
    <n v="2.61"/>
    <n v="0.5"/>
    <x v="195"/>
    <s v="Saskachewan"/>
    <x v="3"/>
    <x v="0"/>
    <x v="0"/>
    <s v="Labels"/>
    <x v="195"/>
    <s v="Small Box"/>
    <n v="0.39"/>
    <d v="2010-11-19T00:00:00"/>
  </r>
  <r>
    <n v="374"/>
    <n v="2595"/>
    <x v="178"/>
    <x v="1"/>
    <n v="13"/>
    <x v="196"/>
    <n v="0.04"/>
    <s v="Delivery Truck"/>
    <n v="2322.44"/>
    <n v="880.98"/>
    <n v="44.55"/>
    <x v="196"/>
    <s v="British Columbia"/>
    <x v="1"/>
    <x v="1"/>
    <x v="1"/>
    <s v="Bookcases"/>
    <x v="196"/>
    <s v="Jumbo Box"/>
    <n v="0.62"/>
    <d v="2011-12-14T00:00:00"/>
  </r>
  <r>
    <n v="377"/>
    <n v="2626"/>
    <x v="179"/>
    <x v="1"/>
    <n v="16"/>
    <x v="197"/>
    <n v="0.02"/>
    <s v="Regular Air"/>
    <n v="18.02"/>
    <n v="2.88"/>
    <n v="0.5"/>
    <x v="197"/>
    <s v="Ontario"/>
    <x v="2"/>
    <x v="0"/>
    <x v="0"/>
    <s v="Labels"/>
    <x v="197"/>
    <s v="Small Box"/>
    <n v="0.36"/>
    <d v="2011-09-09T00:00:00"/>
  </r>
  <r>
    <n v="378"/>
    <n v="2628"/>
    <x v="180"/>
    <x v="0"/>
    <n v="14"/>
    <x v="198"/>
    <n v="0.04"/>
    <s v="Regular Air"/>
    <n v="-60.13"/>
    <n v="2.1800000000000002"/>
    <n v="5"/>
    <x v="198"/>
    <s v="Ontario"/>
    <x v="2"/>
    <x v="3"/>
    <x v="0"/>
    <s v="Scissors, Rulers and Trimmers"/>
    <x v="198"/>
    <s v="Wrap Bag"/>
    <n v="0.81"/>
    <d v="2010-10-26T00:00:00"/>
  </r>
  <r>
    <n v="380"/>
    <n v="2630"/>
    <x v="181"/>
    <x v="0"/>
    <n v="31"/>
    <x v="199"/>
    <n v="0.04"/>
    <s v="Regular Air"/>
    <n v="37.14"/>
    <n v="4.7300000000000004"/>
    <n v="1.52"/>
    <x v="199"/>
    <s v="Manitoba"/>
    <x v="3"/>
    <x v="1"/>
    <x v="0"/>
    <s v="Paper"/>
    <x v="199"/>
    <s v="Wrap Bag"/>
    <n v="0.36"/>
    <d v="2012-10-23T00:00:00"/>
  </r>
  <r>
    <n v="381"/>
    <n v="2631"/>
    <x v="182"/>
    <x v="0"/>
    <n v="27"/>
    <x v="200"/>
    <n v="0.08"/>
    <s v="Regular Air"/>
    <n v="252.66"/>
    <n v="40.96"/>
    <n v="1.99"/>
    <x v="200"/>
    <s v="Nunavut"/>
    <x v="0"/>
    <x v="1"/>
    <x v="2"/>
    <s v="Computer Peripherals"/>
    <x v="200"/>
    <s v="Small Pack"/>
    <n v="0.55000000000000004"/>
    <d v="2010-09-25T00:00:00"/>
  </r>
  <r>
    <n v="382"/>
    <n v="2656"/>
    <x v="183"/>
    <x v="3"/>
    <n v="3"/>
    <x v="201"/>
    <n v="0.05"/>
    <s v="Delivery Truck"/>
    <n v="-214.53"/>
    <n v="159.31"/>
    <n v="60"/>
    <x v="201"/>
    <s v="Nova Scotia"/>
    <x v="6"/>
    <x v="3"/>
    <x v="1"/>
    <s v="Tables"/>
    <x v="201"/>
    <s v="Jumbo Drum"/>
    <n v="0.55000000000000004"/>
    <d v="2010-05-04T00:00:00"/>
  </r>
  <r>
    <n v="384"/>
    <n v="2657"/>
    <x v="184"/>
    <x v="2"/>
    <n v="30"/>
    <x v="202"/>
    <n v="0.05"/>
    <s v="Delivery Truck"/>
    <n v="2108.8000000000002"/>
    <n v="279.81"/>
    <n v="23.19"/>
    <x v="202"/>
    <s v="Manitoba"/>
    <x v="3"/>
    <x v="2"/>
    <x v="0"/>
    <s v="Appliances"/>
    <x v="202"/>
    <s v="Jumbo Drum"/>
    <n v="0.59"/>
    <d v="2011-10-18T00:00:00"/>
  </r>
  <r>
    <n v="386"/>
    <n v="2658"/>
    <x v="185"/>
    <x v="4"/>
    <n v="34"/>
    <x v="203"/>
    <n v="0.04"/>
    <s v="Regular Air"/>
    <n v="-189.33"/>
    <n v="6.48"/>
    <n v="9.5399999999999991"/>
    <x v="203"/>
    <s v="Yukon"/>
    <x v="5"/>
    <x v="0"/>
    <x v="0"/>
    <s v="Paper"/>
    <x v="203"/>
    <s v="Small Box"/>
    <n v="0.37"/>
    <d v="2011-09-23T00:00:00"/>
  </r>
  <r>
    <n v="393"/>
    <n v="2720"/>
    <x v="186"/>
    <x v="3"/>
    <n v="36"/>
    <x v="204"/>
    <n v="0.02"/>
    <s v="Express Air"/>
    <n v="483.97"/>
    <n v="65.989999999999995"/>
    <n v="3.99"/>
    <x v="204"/>
    <s v="British Columbia"/>
    <x v="1"/>
    <x v="0"/>
    <x v="2"/>
    <s v="Telephones and Communication"/>
    <x v="204"/>
    <s v="Small Box"/>
    <n v="0.59"/>
    <d v="2010-06-10T00:00:00"/>
  </r>
  <r>
    <n v="394"/>
    <n v="2722"/>
    <x v="100"/>
    <x v="0"/>
    <n v="46"/>
    <x v="205"/>
    <n v="0.06"/>
    <s v="Regular Air"/>
    <n v="807.62"/>
    <n v="40.97"/>
    <n v="1.99"/>
    <x v="205"/>
    <s v="Nova Scotia"/>
    <x v="6"/>
    <x v="3"/>
    <x v="2"/>
    <s v="Computer Peripherals"/>
    <x v="205"/>
    <s v="Small Pack"/>
    <n v="0.42"/>
    <d v="2009-04-12T00:00:00"/>
  </r>
  <r>
    <n v="400"/>
    <n v="2754"/>
    <x v="187"/>
    <x v="2"/>
    <n v="16"/>
    <x v="206"/>
    <n v="0.04"/>
    <s v="Regular Air"/>
    <n v="422.8"/>
    <n v="90.24"/>
    <n v="0.99"/>
    <x v="206"/>
    <s v="Ontario"/>
    <x v="2"/>
    <x v="2"/>
    <x v="0"/>
    <s v="Appliances"/>
    <x v="206"/>
    <s v="Small Box"/>
    <n v="0.56000000000000005"/>
    <d v="2009-04-04T00:00:00"/>
  </r>
  <r>
    <n v="402"/>
    <n v="2755"/>
    <x v="188"/>
    <x v="1"/>
    <n v="30"/>
    <x v="207"/>
    <n v="0.03"/>
    <s v="Regular Air"/>
    <n v="259.07"/>
    <n v="24.95"/>
    <n v="2.99"/>
    <x v="207"/>
    <s v="Ontario"/>
    <x v="2"/>
    <x v="1"/>
    <x v="0"/>
    <s v="Binders and Binder Accessories"/>
    <x v="207"/>
    <s v="Small Box"/>
    <n v="0.39"/>
    <d v="2012-02-06T00:00:00"/>
  </r>
  <r>
    <n v="404"/>
    <n v="2756"/>
    <x v="189"/>
    <x v="3"/>
    <n v="25"/>
    <x v="208"/>
    <n v="0.06"/>
    <s v="Regular Air"/>
    <n v="-13.77"/>
    <n v="55.94"/>
    <n v="4"/>
    <x v="208"/>
    <s v="Yukon"/>
    <x v="5"/>
    <x v="0"/>
    <x v="2"/>
    <s v="Computer Peripherals"/>
    <x v="208"/>
    <s v="Small Box"/>
    <n v="0.74"/>
    <d v="2009-04-18T00:00:00"/>
  </r>
  <r>
    <n v="413"/>
    <n v="2791"/>
    <x v="190"/>
    <x v="2"/>
    <n v="47"/>
    <x v="209"/>
    <n v="0"/>
    <s v="Regular Air"/>
    <n v="-236.27"/>
    <n v="3.89"/>
    <n v="7.01"/>
    <x v="209"/>
    <s v="Nunavut"/>
    <x v="0"/>
    <x v="1"/>
    <x v="0"/>
    <s v="Binders and Binder Accessories"/>
    <x v="209"/>
    <s v="Small Box"/>
    <n v="0.37"/>
    <d v="2009-10-09T00:00:00"/>
  </r>
  <r>
    <n v="416"/>
    <n v="2816"/>
    <x v="191"/>
    <x v="2"/>
    <n v="35"/>
    <x v="210"/>
    <n v="0"/>
    <s v="Regular Air"/>
    <n v="220.04"/>
    <n v="21.98"/>
    <n v="2.87"/>
    <x v="210"/>
    <s v="Manitoba"/>
    <x v="3"/>
    <x v="1"/>
    <x v="0"/>
    <s v="Pens &amp; Art Supplies"/>
    <x v="210"/>
    <s v="Small Pack"/>
    <n v="0.55000000000000004"/>
    <d v="2009-09-20T00:00:00"/>
  </r>
  <r>
    <n v="417"/>
    <n v="2817"/>
    <x v="192"/>
    <x v="4"/>
    <n v="14"/>
    <x v="211"/>
    <n v="0.1"/>
    <s v="Regular Air"/>
    <n v="202.25"/>
    <n v="300.97000000000003"/>
    <n v="7.18"/>
    <x v="211"/>
    <s v="Saskachewan"/>
    <x v="3"/>
    <x v="2"/>
    <x v="2"/>
    <s v="Computer Peripherals"/>
    <x v="211"/>
    <s v="Small Box"/>
    <n v="0.48"/>
    <d v="2009-04-19T00:00:00"/>
  </r>
  <r>
    <n v="428"/>
    <n v="2853"/>
    <x v="138"/>
    <x v="2"/>
    <n v="25"/>
    <x v="212"/>
    <n v="0.05"/>
    <s v="Express Air"/>
    <n v="943"/>
    <n v="178.47"/>
    <n v="19.989999999999998"/>
    <x v="212"/>
    <s v="Yukon"/>
    <x v="5"/>
    <x v="3"/>
    <x v="0"/>
    <s v="Storage &amp; Organization"/>
    <x v="212"/>
    <s v="Small Box"/>
    <n v="0.55000000000000004"/>
    <d v="2009-05-07T00:00:00"/>
  </r>
  <r>
    <n v="429"/>
    <n v="2882"/>
    <x v="193"/>
    <x v="2"/>
    <n v="23"/>
    <x v="213"/>
    <n v="0.03"/>
    <s v="Delivery Truck"/>
    <n v="565.34"/>
    <n v="160.97999999999999"/>
    <n v="30"/>
    <x v="213"/>
    <s v="Alberta"/>
    <x v="1"/>
    <x v="3"/>
    <x v="1"/>
    <s v="Chairs &amp; Chairmats"/>
    <x v="213"/>
    <s v="Jumbo Drum"/>
    <n v="0.62"/>
    <d v="2011-08-23T00:00:00"/>
  </r>
  <r>
    <n v="432"/>
    <n v="2885"/>
    <x v="194"/>
    <x v="1"/>
    <n v="29"/>
    <x v="214"/>
    <n v="0.06"/>
    <s v="Regular Air"/>
    <n v="-128.68"/>
    <n v="6.48"/>
    <n v="8.4"/>
    <x v="214"/>
    <s v="New Brunswick"/>
    <x v="6"/>
    <x v="2"/>
    <x v="0"/>
    <s v="Paper"/>
    <x v="214"/>
    <s v="Small Box"/>
    <n v="0.37"/>
    <d v="2012-09-18T00:00:00"/>
  </r>
  <r>
    <n v="437"/>
    <n v="2915"/>
    <x v="195"/>
    <x v="0"/>
    <n v="41"/>
    <x v="215"/>
    <n v="7.0000000000000007E-2"/>
    <s v="Regular Air"/>
    <n v="32.83"/>
    <n v="5.98"/>
    <n v="0.96"/>
    <x v="215"/>
    <s v="Alberta"/>
    <x v="1"/>
    <x v="3"/>
    <x v="0"/>
    <s v="Pens &amp; Art Supplies"/>
    <x v="215"/>
    <s v="Wrap Bag"/>
    <n v="0.6"/>
    <d v="2009-04-03T00:00:00"/>
  </r>
  <r>
    <n v="441"/>
    <n v="2978"/>
    <x v="196"/>
    <x v="3"/>
    <n v="34"/>
    <x v="216"/>
    <n v="0.01"/>
    <s v="Regular Air"/>
    <n v="1312.04"/>
    <n v="205.99"/>
    <n v="19.989999999999998"/>
    <x v="216"/>
    <s v="Yukon"/>
    <x v="5"/>
    <x v="1"/>
    <x v="2"/>
    <s v="Telephones and Communication"/>
    <x v="216"/>
    <s v="Small Box"/>
    <n v="0.6"/>
    <d v="2011-05-03T00:00:00"/>
  </r>
  <r>
    <n v="444"/>
    <n v="3008"/>
    <x v="197"/>
    <x v="4"/>
    <n v="41"/>
    <x v="217"/>
    <n v="0.01"/>
    <s v="Regular Air"/>
    <n v="3081.02"/>
    <n v="162.93"/>
    <n v="19.989999999999998"/>
    <x v="217"/>
    <s v="Yukon"/>
    <x v="5"/>
    <x v="3"/>
    <x v="0"/>
    <s v="Envelopes"/>
    <x v="217"/>
    <s v="Small Box"/>
    <n v="0.39"/>
    <d v="2011-11-08T00:00:00"/>
  </r>
  <r>
    <n v="447"/>
    <n v="3040"/>
    <x v="198"/>
    <x v="4"/>
    <n v="13"/>
    <x v="218"/>
    <n v="0.01"/>
    <s v="Express Air"/>
    <n v="-31.54"/>
    <n v="6.48"/>
    <n v="6.6"/>
    <x v="218"/>
    <s v="Manitoba"/>
    <x v="3"/>
    <x v="3"/>
    <x v="0"/>
    <s v="Paper"/>
    <x v="218"/>
    <s v="Small Box"/>
    <n v="0.37"/>
    <d v="2010-04-12T00:00:00"/>
  </r>
  <r>
    <n v="448"/>
    <n v="3042"/>
    <x v="199"/>
    <x v="4"/>
    <n v="26"/>
    <x v="219"/>
    <n v="0.1"/>
    <s v="Regular Air"/>
    <n v="15.42"/>
    <n v="4.26"/>
    <n v="1.2"/>
    <x v="219"/>
    <s v="Yukon"/>
    <x v="5"/>
    <x v="3"/>
    <x v="0"/>
    <s v="Pens &amp; Art Supplies"/>
    <x v="219"/>
    <s v="Wrap Bag"/>
    <n v="0.44"/>
    <d v="2009-11-21T00:00:00"/>
  </r>
  <r>
    <n v="450"/>
    <n v="3073"/>
    <x v="200"/>
    <x v="4"/>
    <n v="3"/>
    <x v="220"/>
    <n v="0.05"/>
    <s v="Regular Air"/>
    <n v="-11.58"/>
    <n v="1.98"/>
    <n v="4.7699999999999996"/>
    <x v="220"/>
    <s v="Quebec"/>
    <x v="4"/>
    <x v="2"/>
    <x v="0"/>
    <s v="Binders and Binder Accessories"/>
    <x v="220"/>
    <s v="Small Box"/>
    <n v="0.4"/>
    <d v="2009-01-08T00:00:00"/>
  </r>
  <r>
    <n v="455"/>
    <n v="3104"/>
    <x v="201"/>
    <x v="4"/>
    <n v="50"/>
    <x v="221"/>
    <n v="0.01"/>
    <s v="Regular Air"/>
    <n v="-240.78"/>
    <n v="6.48"/>
    <n v="8.8800000000000008"/>
    <x v="221"/>
    <s v="Nova Scotia"/>
    <x v="6"/>
    <x v="3"/>
    <x v="0"/>
    <s v="Paper"/>
    <x v="221"/>
    <s v="Small Box"/>
    <n v="0.37"/>
    <d v="2010-09-17T00:00:00"/>
  </r>
  <r>
    <n v="460"/>
    <n v="3110"/>
    <x v="85"/>
    <x v="2"/>
    <n v="13"/>
    <x v="222"/>
    <n v="0.04"/>
    <s v="Delivery Truck"/>
    <n v="377.81"/>
    <n v="119.99"/>
    <n v="14"/>
    <x v="222"/>
    <s v="Manitoba"/>
    <x v="3"/>
    <x v="1"/>
    <x v="2"/>
    <s v="Office Machines"/>
    <x v="222"/>
    <s v="Jumbo Drum"/>
    <n v="0.36"/>
    <d v="2009-12-18T00:00:00"/>
  </r>
  <r>
    <n v="461"/>
    <n v="3136"/>
    <x v="202"/>
    <x v="1"/>
    <n v="8"/>
    <x v="223"/>
    <n v="0.1"/>
    <s v="Regular Air"/>
    <n v="-38.89"/>
    <n v="30.98"/>
    <n v="8.99"/>
    <x v="223"/>
    <s v="Ontario"/>
    <x v="2"/>
    <x v="1"/>
    <x v="0"/>
    <s v="Pens &amp; Art Supplies"/>
    <x v="223"/>
    <s v="Small Pack"/>
    <n v="0.57999999999999996"/>
    <d v="2009-08-11T00:00:00"/>
  </r>
  <r>
    <n v="462"/>
    <n v="3138"/>
    <x v="203"/>
    <x v="1"/>
    <n v="4"/>
    <x v="224"/>
    <n v="7.0000000000000007E-2"/>
    <s v="Express Air"/>
    <n v="-427.47"/>
    <n v="179.99"/>
    <n v="19.989999999999998"/>
    <x v="224"/>
    <s v="Quebec"/>
    <x v="4"/>
    <x v="3"/>
    <x v="2"/>
    <s v="Computer Peripherals"/>
    <x v="224"/>
    <s v="Small Box"/>
    <n v="0.48"/>
    <d v="2009-02-08T00:00:00"/>
  </r>
  <r>
    <n v="463"/>
    <n v="3141"/>
    <x v="204"/>
    <x v="3"/>
    <n v="30"/>
    <x v="225"/>
    <n v="0.08"/>
    <s v="Regular Air"/>
    <n v="-26.72"/>
    <n v="18.89"/>
    <n v="3.17"/>
    <x v="225"/>
    <s v="Quebec"/>
    <x v="4"/>
    <x v="2"/>
    <x v="2"/>
    <s v="Computer Peripherals"/>
    <x v="225"/>
    <s v="Small Pack"/>
    <n v="0.69"/>
    <d v="2011-11-11T00:00:00"/>
  </r>
  <r>
    <n v="466"/>
    <n v="3172"/>
    <x v="93"/>
    <x v="1"/>
    <n v="33"/>
    <x v="226"/>
    <n v="0.05"/>
    <s v="Regular Air"/>
    <n v="-95.98"/>
    <n v="20.99"/>
    <n v="3.3"/>
    <x v="226"/>
    <s v="Alberta"/>
    <x v="1"/>
    <x v="3"/>
    <x v="2"/>
    <s v="Telephones and Communication"/>
    <x v="226"/>
    <s v="Small Pack"/>
    <n v="0.81"/>
    <d v="2012-06-04T00:00:00"/>
  </r>
  <r>
    <n v="467"/>
    <n v="3175"/>
    <x v="205"/>
    <x v="0"/>
    <n v="23"/>
    <x v="227"/>
    <n v="7.0000000000000007E-2"/>
    <s v="Regular Air"/>
    <n v="521.69000000000005"/>
    <n v="165.2"/>
    <n v="19.989999999999998"/>
    <x v="227"/>
    <s v="Yukon"/>
    <x v="5"/>
    <x v="0"/>
    <x v="0"/>
    <s v="Storage &amp; Organization"/>
    <x v="227"/>
    <s v="Small Box"/>
    <n v="0.59"/>
    <d v="2009-07-16T00:00:00"/>
  </r>
  <r>
    <n v="468"/>
    <n v="3202"/>
    <x v="206"/>
    <x v="0"/>
    <n v="10"/>
    <x v="228"/>
    <n v="0.05"/>
    <s v="Regular Air"/>
    <n v="-105.37"/>
    <n v="53.98"/>
    <n v="5.5"/>
    <x v="228"/>
    <s v="Saskachewan"/>
    <x v="3"/>
    <x v="3"/>
    <x v="2"/>
    <s v="Computer Peripherals"/>
    <x v="228"/>
    <s v="Small Box"/>
    <n v="0.62"/>
    <d v="2012-12-27T00:00:00"/>
  </r>
  <r>
    <n v="469"/>
    <n v="3205"/>
    <x v="207"/>
    <x v="0"/>
    <n v="8"/>
    <x v="229"/>
    <n v="0.01"/>
    <s v="Regular Air"/>
    <n v="80.430000000000007"/>
    <n v="15.68"/>
    <n v="3.73"/>
    <x v="229"/>
    <s v="Quebec"/>
    <x v="4"/>
    <x v="3"/>
    <x v="1"/>
    <s v="Office Furnishings"/>
    <x v="229"/>
    <s v="Small Pack"/>
    <n v="0.46"/>
    <d v="2012-04-10T00:00:00"/>
  </r>
  <r>
    <n v="471"/>
    <n v="3232"/>
    <x v="208"/>
    <x v="3"/>
    <n v="5"/>
    <x v="230"/>
    <n v="0.06"/>
    <s v="Regular Air"/>
    <n v="-11.83"/>
    <n v="7.84"/>
    <n v="4.71"/>
    <x v="230"/>
    <s v="Nunavut"/>
    <x v="0"/>
    <x v="0"/>
    <x v="0"/>
    <s v="Binders and Binder Accessories"/>
    <x v="230"/>
    <s v="Small Box"/>
    <n v="0.35"/>
    <d v="2012-10-10T00:00:00"/>
  </r>
  <r>
    <n v="472"/>
    <n v="3235"/>
    <x v="79"/>
    <x v="0"/>
    <n v="31"/>
    <x v="231"/>
    <n v="0.1"/>
    <s v="Express Air"/>
    <n v="-12.26"/>
    <n v="4.71"/>
    <n v="0.7"/>
    <x v="231"/>
    <s v="Ontario"/>
    <x v="2"/>
    <x v="1"/>
    <x v="0"/>
    <s v="Rubber Bands"/>
    <x v="231"/>
    <s v="Wrap Bag"/>
    <n v="0.85"/>
    <d v="2011-11-16T00:00:00"/>
  </r>
  <r>
    <n v="476"/>
    <n v="3297"/>
    <x v="209"/>
    <x v="2"/>
    <n v="40"/>
    <x v="232"/>
    <n v="0.04"/>
    <s v="Regular Air"/>
    <n v="-196.8"/>
    <n v="3.75"/>
    <n v="7.5"/>
    <x v="232"/>
    <s v="Alberta"/>
    <x v="1"/>
    <x v="3"/>
    <x v="0"/>
    <s v="Labels"/>
    <x v="232"/>
    <s v="Small Box"/>
    <n v="0.37"/>
    <d v="2012-11-03T00:00:00"/>
  </r>
  <r>
    <n v="479"/>
    <n v="3331"/>
    <x v="210"/>
    <x v="2"/>
    <n v="31"/>
    <x v="233"/>
    <n v="0.05"/>
    <s v="Regular Air"/>
    <n v="73.16"/>
    <n v="4.91"/>
    <n v="0.5"/>
    <x v="233"/>
    <s v="Saskachewan"/>
    <x v="3"/>
    <x v="1"/>
    <x v="0"/>
    <s v="Labels"/>
    <x v="233"/>
    <s v="Small Box"/>
    <n v="0.36"/>
    <d v="2010-05-21T00:00:00"/>
  </r>
  <r>
    <n v="480"/>
    <n v="3332"/>
    <x v="211"/>
    <x v="3"/>
    <n v="6"/>
    <x v="234"/>
    <n v="0.01"/>
    <s v="Regular Air"/>
    <n v="-3.51"/>
    <n v="3.26"/>
    <n v="1.86"/>
    <x v="234"/>
    <s v="Nova Scotia"/>
    <x v="6"/>
    <x v="1"/>
    <x v="0"/>
    <s v="Pens &amp; Art Supplies"/>
    <x v="234"/>
    <s v="Wrap Bag"/>
    <n v="0.41"/>
    <d v="2009-11-06T00:00:00"/>
  </r>
  <r>
    <n v="481"/>
    <n v="3333"/>
    <x v="212"/>
    <x v="1"/>
    <n v="42"/>
    <x v="235"/>
    <n v="0.08"/>
    <s v="Regular Air"/>
    <n v="162.16999999999999"/>
    <n v="22.98"/>
    <n v="4.5"/>
    <x v="235"/>
    <s v="Ontario"/>
    <x v="2"/>
    <x v="2"/>
    <x v="0"/>
    <s v="Appliances"/>
    <x v="235"/>
    <s v="Small Box"/>
    <n v="0.55000000000000004"/>
    <d v="2012-09-17T00:00:00"/>
  </r>
  <r>
    <n v="483"/>
    <n v="3361"/>
    <x v="213"/>
    <x v="1"/>
    <n v="49"/>
    <x v="236"/>
    <n v="0.06"/>
    <s v="Regular Air"/>
    <n v="-208.02"/>
    <n v="4.28"/>
    <n v="6.72"/>
    <x v="236"/>
    <s v="Nova Scotia"/>
    <x v="6"/>
    <x v="1"/>
    <x v="0"/>
    <s v="Paper"/>
    <x v="236"/>
    <s v="Small Box"/>
    <n v="0.4"/>
    <d v="2012-08-22T00:00:00"/>
  </r>
  <r>
    <n v="490"/>
    <n v="3395"/>
    <x v="214"/>
    <x v="1"/>
    <n v="31"/>
    <x v="237"/>
    <n v="0.06"/>
    <s v="Express Air"/>
    <n v="-59.88"/>
    <n v="5.38"/>
    <n v="5.24"/>
    <x v="237"/>
    <s v="British Columbia"/>
    <x v="1"/>
    <x v="3"/>
    <x v="0"/>
    <s v="Binders and Binder Accessories"/>
    <x v="237"/>
    <s v="Small Box"/>
    <n v="0.36"/>
    <d v="2009-10-31T00:00:00"/>
  </r>
  <r>
    <n v="494"/>
    <n v="3397"/>
    <x v="215"/>
    <x v="4"/>
    <n v="43"/>
    <x v="238"/>
    <n v="0.1"/>
    <s v="Regular Air"/>
    <n v="-20.25"/>
    <n v="19.98"/>
    <n v="4"/>
    <x v="238"/>
    <s v="Nova Scotia"/>
    <x v="6"/>
    <x v="3"/>
    <x v="2"/>
    <s v="Computer Peripherals"/>
    <x v="238"/>
    <s v="Small Box"/>
    <n v="0.68"/>
    <d v="2009-06-24T00:00:00"/>
  </r>
  <r>
    <n v="497"/>
    <n v="3458"/>
    <x v="216"/>
    <x v="2"/>
    <n v="41"/>
    <x v="239"/>
    <n v="0.03"/>
    <s v="Regular Air"/>
    <n v="222.08"/>
    <n v="15.28"/>
    <n v="1.99"/>
    <x v="239"/>
    <s v="New Brunswick"/>
    <x v="6"/>
    <x v="1"/>
    <x v="2"/>
    <s v="Computer Peripherals"/>
    <x v="239"/>
    <s v="Small Pack"/>
    <n v="0.42"/>
    <d v="2009-12-23T00:00:00"/>
  </r>
  <r>
    <n v="499"/>
    <n v="3459"/>
    <x v="217"/>
    <x v="1"/>
    <n v="24"/>
    <x v="240"/>
    <n v="0.1"/>
    <s v="Express Air"/>
    <n v="218.87"/>
    <n v="110.99"/>
    <n v="8.99"/>
    <x v="240"/>
    <s v="Manitoba"/>
    <x v="3"/>
    <x v="2"/>
    <x v="2"/>
    <s v="Telephones and Communication"/>
    <x v="240"/>
    <s v="Small Box"/>
    <n v="0.56999999999999995"/>
    <d v="2009-07-29T00:00:00"/>
  </r>
  <r>
    <n v="500"/>
    <n v="3460"/>
    <x v="218"/>
    <x v="2"/>
    <n v="27"/>
    <x v="241"/>
    <n v="0.08"/>
    <s v="Regular Air"/>
    <n v="-95.15"/>
    <n v="5.98"/>
    <n v="4.6900000000000004"/>
    <x v="241"/>
    <s v="Ontario"/>
    <x v="2"/>
    <x v="3"/>
    <x v="0"/>
    <s v="Storage &amp; Organization"/>
    <x v="241"/>
    <s v="Small Box"/>
    <n v="0.68"/>
    <d v="2011-10-04T00:00:00"/>
  </r>
  <r>
    <n v="501"/>
    <n v="3461"/>
    <x v="219"/>
    <x v="3"/>
    <n v="47"/>
    <x v="242"/>
    <n v="0.1"/>
    <s v="Regular Air"/>
    <n v="1040.4000000000001"/>
    <n v="55.99"/>
    <n v="1.25"/>
    <x v="242"/>
    <s v="Saskachewan"/>
    <x v="3"/>
    <x v="2"/>
    <x v="2"/>
    <s v="Telephones and Communication"/>
    <x v="242"/>
    <s v="Small Pack"/>
    <n v="0.35"/>
    <d v="2010-02-01T00:00:00"/>
  </r>
  <r>
    <n v="504"/>
    <n v="3488"/>
    <x v="220"/>
    <x v="4"/>
    <n v="39"/>
    <x v="243"/>
    <n v="0.06"/>
    <s v="Delivery Truck"/>
    <n v="-1864.08"/>
    <n v="122.99"/>
    <n v="70.2"/>
    <x v="243"/>
    <s v="Manitoba"/>
    <x v="3"/>
    <x v="2"/>
    <x v="1"/>
    <s v="Chairs &amp; Chairmats"/>
    <x v="243"/>
    <s v="Jumbo Drum"/>
    <n v="0.74"/>
    <d v="2011-01-10T00:00:00"/>
  </r>
  <r>
    <n v="506"/>
    <n v="3492"/>
    <x v="221"/>
    <x v="0"/>
    <n v="35"/>
    <x v="244"/>
    <n v="0.04"/>
    <s v="Regular Air"/>
    <n v="524.88"/>
    <n v="67.28"/>
    <n v="19.989999999999998"/>
    <x v="244"/>
    <s v="Manitoba"/>
    <x v="3"/>
    <x v="1"/>
    <x v="0"/>
    <s v="Binders and Binder Accessories"/>
    <x v="244"/>
    <s v="Small Box"/>
    <n v="0.4"/>
    <d v="2009-11-28T00:00:00"/>
  </r>
  <r>
    <n v="510"/>
    <n v="3521"/>
    <x v="222"/>
    <x v="0"/>
    <n v="50"/>
    <x v="245"/>
    <n v="0.06"/>
    <s v="Regular Air"/>
    <n v="28.71"/>
    <n v="4.28"/>
    <n v="0.94"/>
    <x v="245"/>
    <s v="Prince Edward Island"/>
    <x v="6"/>
    <x v="2"/>
    <x v="0"/>
    <s v="Pens &amp; Art Supplies"/>
    <x v="245"/>
    <s v="Wrap Bag"/>
    <n v="0.56000000000000005"/>
    <d v="2012-10-27T00:00:00"/>
  </r>
  <r>
    <n v="513"/>
    <n v="3524"/>
    <x v="223"/>
    <x v="2"/>
    <n v="21"/>
    <x v="246"/>
    <n v="0"/>
    <s v="Regular Air"/>
    <n v="52.35"/>
    <n v="18.97"/>
    <n v="9.0299999999999994"/>
    <x v="246"/>
    <s v="Nunavut"/>
    <x v="0"/>
    <x v="0"/>
    <x v="0"/>
    <s v="Paper"/>
    <x v="246"/>
    <s v="Small Box"/>
    <n v="0.37"/>
    <d v="2012-05-03T00:00:00"/>
  </r>
  <r>
    <n v="515"/>
    <n v="3526"/>
    <x v="224"/>
    <x v="0"/>
    <n v="20"/>
    <x v="247"/>
    <n v="0.08"/>
    <s v="Regular Air"/>
    <n v="20.67"/>
    <n v="12.07"/>
    <n v="6.2"/>
    <x v="247"/>
    <s v="Yukon"/>
    <x v="5"/>
    <x v="0"/>
    <x v="1"/>
    <s v="Office Furnishings"/>
    <x v="247"/>
    <s v="Wrap Bag"/>
    <n v="0.52"/>
    <d v="2011-03-17T00:00:00"/>
  </r>
  <r>
    <n v="517"/>
    <n v="3554"/>
    <x v="68"/>
    <x v="0"/>
    <n v="25"/>
    <x v="248"/>
    <n v="0.08"/>
    <s v="Regular Air"/>
    <n v="-14.06"/>
    <n v="12.28"/>
    <n v="6.47"/>
    <x v="248"/>
    <s v="Saskachewan"/>
    <x v="3"/>
    <x v="1"/>
    <x v="0"/>
    <s v="Paper"/>
    <x v="248"/>
    <s v="Small Box"/>
    <n v="0.38"/>
    <d v="2011-06-25T00:00:00"/>
  </r>
  <r>
    <n v="520"/>
    <n v="3559"/>
    <x v="181"/>
    <x v="4"/>
    <n v="34"/>
    <x v="249"/>
    <n v="7.0000000000000007E-2"/>
    <s v="Express Air"/>
    <n v="-117.92"/>
    <n v="3.81"/>
    <n v="5.44"/>
    <x v="249"/>
    <s v="Quebec"/>
    <x v="4"/>
    <x v="1"/>
    <x v="0"/>
    <s v="Binders and Binder Accessories"/>
    <x v="249"/>
    <s v="Small Box"/>
    <n v="0.36"/>
    <d v="2012-10-24T00:00:00"/>
  </r>
  <r>
    <n v="521"/>
    <n v="3585"/>
    <x v="225"/>
    <x v="2"/>
    <n v="27"/>
    <x v="250"/>
    <n v="7.0000000000000007E-2"/>
    <s v="Regular Air"/>
    <n v="78.05"/>
    <n v="10.06"/>
    <n v="2.06"/>
    <x v="250"/>
    <s v="Ontario"/>
    <x v="2"/>
    <x v="1"/>
    <x v="0"/>
    <s v="Paper"/>
    <x v="250"/>
    <s v="Wrap Bag"/>
    <n v="0.39"/>
    <d v="2009-11-22T00:00:00"/>
  </r>
  <r>
    <n v="523"/>
    <n v="3586"/>
    <x v="226"/>
    <x v="2"/>
    <n v="32"/>
    <x v="251"/>
    <n v="0.06"/>
    <s v="Regular Air"/>
    <n v="70.510000000000005"/>
    <n v="12.58"/>
    <n v="5.16"/>
    <x v="251"/>
    <s v="Quebec"/>
    <x v="4"/>
    <x v="2"/>
    <x v="1"/>
    <s v="Office Furnishings"/>
    <x v="251"/>
    <s v="Small Box"/>
    <n v="0.43"/>
    <d v="2010-12-05T00:00:00"/>
  </r>
  <r>
    <n v="529"/>
    <n v="3589"/>
    <x v="227"/>
    <x v="2"/>
    <n v="23"/>
    <x v="252"/>
    <n v="0.01"/>
    <s v="Regular Air"/>
    <n v="28.55"/>
    <n v="3.15"/>
    <n v="0.49"/>
    <x v="252"/>
    <s v="Nova Scotia"/>
    <x v="6"/>
    <x v="2"/>
    <x v="0"/>
    <s v="Labels"/>
    <x v="252"/>
    <s v="Small Box"/>
    <n v="0.37"/>
    <d v="2009-05-27T00:00:00"/>
  </r>
  <r>
    <n v="530"/>
    <n v="3591"/>
    <x v="228"/>
    <x v="4"/>
    <n v="3"/>
    <x v="253"/>
    <n v="0.01"/>
    <s v="Delivery Truck"/>
    <n v="-100.05"/>
    <n v="100.98"/>
    <n v="15.66"/>
    <x v="253"/>
    <s v="Ontario"/>
    <x v="2"/>
    <x v="0"/>
    <x v="0"/>
    <s v="Appliances"/>
    <x v="253"/>
    <s v="Jumbo Drum"/>
    <n v="0.56999999999999995"/>
    <d v="2010-12-09T00:00:00"/>
  </r>
  <r>
    <n v="533"/>
    <n v="3622"/>
    <x v="229"/>
    <x v="0"/>
    <n v="16"/>
    <x v="254"/>
    <n v="0.01"/>
    <s v="Regular Air"/>
    <n v="-48.51"/>
    <n v="4.24"/>
    <n v="5.41"/>
    <x v="254"/>
    <s v="Manitoba"/>
    <x v="3"/>
    <x v="3"/>
    <x v="0"/>
    <s v="Binders and Binder Accessories"/>
    <x v="254"/>
    <s v="Small Box"/>
    <n v="0.35"/>
    <d v="2011-12-01T00:00:00"/>
  </r>
  <r>
    <n v="540"/>
    <n v="3653"/>
    <x v="230"/>
    <x v="3"/>
    <n v="41"/>
    <x v="255"/>
    <n v="0.08"/>
    <s v="Regular Air"/>
    <n v="64.790000000000006"/>
    <n v="6.68"/>
    <n v="1.5"/>
    <x v="255"/>
    <s v="New Brunswick"/>
    <x v="6"/>
    <x v="1"/>
    <x v="0"/>
    <s v="Pens &amp; Art Supplies"/>
    <x v="255"/>
    <s v="Wrap Bag"/>
    <n v="0.48"/>
    <d v="2009-03-28T00:00:00"/>
  </r>
  <r>
    <n v="546"/>
    <n v="3680"/>
    <x v="231"/>
    <x v="1"/>
    <n v="27"/>
    <x v="256"/>
    <n v="0.09"/>
    <s v="Regular Air"/>
    <n v="-61.75"/>
    <n v="6.48"/>
    <n v="6"/>
    <x v="256"/>
    <s v="Nova Scotia"/>
    <x v="6"/>
    <x v="1"/>
    <x v="0"/>
    <s v="Paper"/>
    <x v="256"/>
    <s v="Small Box"/>
    <n v="0.37"/>
    <d v="2012-12-11T00:00:00"/>
  </r>
  <r>
    <n v="549"/>
    <n v="3687"/>
    <x v="232"/>
    <x v="3"/>
    <n v="25"/>
    <x v="257"/>
    <n v="7.0000000000000007E-2"/>
    <s v="Regular Air"/>
    <n v="6.14"/>
    <n v="3.29"/>
    <n v="1.35"/>
    <x v="257"/>
    <s v="British Columbia"/>
    <x v="1"/>
    <x v="2"/>
    <x v="0"/>
    <s v="Rubber Bands"/>
    <x v="257"/>
    <s v="Wrap Bag"/>
    <n v="0.4"/>
    <d v="2010-02-02T00:00:00"/>
  </r>
  <r>
    <n v="550"/>
    <n v="3745"/>
    <x v="233"/>
    <x v="0"/>
    <n v="38"/>
    <x v="258"/>
    <n v="0.04"/>
    <s v="Express Air"/>
    <n v="411.1"/>
    <n v="29.18"/>
    <n v="8.5500000000000007"/>
    <x v="258"/>
    <s v="Ontario"/>
    <x v="2"/>
    <x v="2"/>
    <x v="1"/>
    <s v="Office Furnishings"/>
    <x v="258"/>
    <s v="Small Box"/>
    <n v="0.42"/>
    <d v="2010-09-30T00:00:00"/>
  </r>
  <r>
    <n v="551"/>
    <n v="3746"/>
    <x v="234"/>
    <x v="1"/>
    <n v="14"/>
    <x v="259"/>
    <n v="0"/>
    <s v="Regular Air"/>
    <n v="162.66999999999999"/>
    <n v="115.99"/>
    <n v="2.5"/>
    <x v="259"/>
    <s v="Alberta"/>
    <x v="1"/>
    <x v="1"/>
    <x v="2"/>
    <s v="Telephones and Communication"/>
    <x v="259"/>
    <s v="Small Box"/>
    <n v="0.56999999999999995"/>
    <d v="2009-09-10T00:00:00"/>
  </r>
  <r>
    <n v="553"/>
    <n v="3749"/>
    <x v="235"/>
    <x v="4"/>
    <n v="27"/>
    <x v="260"/>
    <n v="0.01"/>
    <s v="Regular Air"/>
    <n v="140.15"/>
    <n v="12.97"/>
    <n v="1.49"/>
    <x v="260"/>
    <s v="Manitoba"/>
    <x v="3"/>
    <x v="3"/>
    <x v="0"/>
    <s v="Binders and Binder Accessories"/>
    <x v="260"/>
    <s v="Small Box"/>
    <n v="0.35"/>
    <d v="2011-02-25T00:00:00"/>
  </r>
  <r>
    <n v="556"/>
    <n v="3778"/>
    <x v="236"/>
    <x v="3"/>
    <n v="34"/>
    <x v="261"/>
    <n v="7.0000000000000007E-2"/>
    <s v="Regular Air"/>
    <n v="-63.76"/>
    <n v="8.32"/>
    <n v="2.38"/>
    <x v="261"/>
    <s v="Quebec"/>
    <x v="4"/>
    <x v="2"/>
    <x v="2"/>
    <s v="Computer Peripherals"/>
    <x v="261"/>
    <s v="Small Pack"/>
    <n v="0.74"/>
    <d v="2010-05-27T00:00:00"/>
  </r>
  <r>
    <n v="565"/>
    <n v="3814"/>
    <x v="237"/>
    <x v="0"/>
    <n v="43"/>
    <x v="262"/>
    <n v="0.04"/>
    <s v="Express Air"/>
    <n v="-138.02000000000001"/>
    <n v="28.28"/>
    <n v="13.99"/>
    <x v="262"/>
    <s v="Yukon"/>
    <x v="5"/>
    <x v="3"/>
    <x v="0"/>
    <s v="Storage &amp; Organization"/>
    <x v="262"/>
    <s v="Medium Box"/>
    <n v="0.57999999999999996"/>
    <d v="2011-02-27T00:00:00"/>
  </r>
  <r>
    <n v="579"/>
    <n v="3942"/>
    <x v="238"/>
    <x v="1"/>
    <n v="11"/>
    <x v="263"/>
    <n v="0.08"/>
    <s v="Regular Air"/>
    <n v="-42.61"/>
    <n v="20.149999999999999"/>
    <n v="8.99"/>
    <x v="263"/>
    <s v="Nova Scotia"/>
    <x v="6"/>
    <x v="0"/>
    <x v="0"/>
    <s v="Pens &amp; Art Supplies"/>
    <x v="263"/>
    <s v="Small Pack"/>
    <n v="0.57999999999999996"/>
    <d v="2010-06-28T00:00:00"/>
  </r>
  <r>
    <n v="587"/>
    <n v="4007"/>
    <x v="239"/>
    <x v="2"/>
    <n v="18"/>
    <x v="264"/>
    <n v="0.01"/>
    <s v="Regular Air"/>
    <n v="112.36"/>
    <n v="56.96"/>
    <n v="13.22"/>
    <x v="264"/>
    <s v="Prince Edward Island"/>
    <x v="6"/>
    <x v="1"/>
    <x v="0"/>
    <s v="Appliances"/>
    <x v="264"/>
    <s v="Small Box"/>
    <n v="0.56000000000000005"/>
    <d v="2010-06-18T00:00:00"/>
  </r>
  <r>
    <n v="591"/>
    <n v="4034"/>
    <x v="240"/>
    <x v="1"/>
    <n v="44"/>
    <x v="265"/>
    <n v="7.0000000000000007E-2"/>
    <s v="Regular Air"/>
    <n v="-1183.69"/>
    <n v="79.52"/>
    <n v="48.2"/>
    <x v="265"/>
    <s v="Manitoba"/>
    <x v="3"/>
    <x v="0"/>
    <x v="1"/>
    <s v="Office Furnishings"/>
    <x v="265"/>
    <s v="Medium Box"/>
    <n v="0.74"/>
    <d v="2010-11-14T00:00:00"/>
  </r>
  <r>
    <n v="593"/>
    <n v="4037"/>
    <x v="241"/>
    <x v="2"/>
    <n v="27"/>
    <x v="266"/>
    <n v="0"/>
    <s v="Regular Air"/>
    <n v="-101.85"/>
    <n v="6.48"/>
    <n v="7.86"/>
    <x v="266"/>
    <s v="Manitoba"/>
    <x v="3"/>
    <x v="1"/>
    <x v="0"/>
    <s v="Paper"/>
    <x v="266"/>
    <s v="Small Box"/>
    <n v="0.37"/>
    <d v="2010-03-24T00:00:00"/>
  </r>
  <r>
    <n v="605"/>
    <n v="4128"/>
    <x v="242"/>
    <x v="1"/>
    <n v="38"/>
    <x v="267"/>
    <n v="0.04"/>
    <s v="Regular Air"/>
    <n v="25.03"/>
    <n v="9.99"/>
    <n v="5.12"/>
    <x v="267"/>
    <s v="Ontario"/>
    <x v="2"/>
    <x v="3"/>
    <x v="0"/>
    <s v="Paper"/>
    <x v="267"/>
    <s v="Small Box"/>
    <n v="0.4"/>
    <d v="2011-10-08T00:00:00"/>
  </r>
  <r>
    <n v="606"/>
    <n v="4132"/>
    <x v="243"/>
    <x v="1"/>
    <n v="5"/>
    <x v="268"/>
    <n v="0.01"/>
    <s v="Regular Air"/>
    <n v="1.32"/>
    <n v="2.88"/>
    <n v="0.5"/>
    <x v="268"/>
    <s v="Nunavut"/>
    <x v="0"/>
    <x v="1"/>
    <x v="0"/>
    <s v="Labels"/>
    <x v="268"/>
    <s v="Small Box"/>
    <n v="0.36"/>
    <d v="2011-05-30T00:00:00"/>
  </r>
  <r>
    <n v="614"/>
    <n v="4199"/>
    <x v="244"/>
    <x v="3"/>
    <n v="43"/>
    <x v="269"/>
    <n v="0.01"/>
    <s v="Express Air"/>
    <n v="102.53"/>
    <n v="14.2"/>
    <n v="5.3"/>
    <x v="269"/>
    <s v="Alberta"/>
    <x v="1"/>
    <x v="1"/>
    <x v="1"/>
    <s v="Office Furnishings"/>
    <x v="269"/>
    <s v="Wrap Bag"/>
    <n v="0.46"/>
    <d v="2012-02-13T00:00:00"/>
  </r>
  <r>
    <n v="615"/>
    <n v="4230"/>
    <x v="245"/>
    <x v="3"/>
    <n v="18"/>
    <x v="270"/>
    <n v="0.05"/>
    <s v="Regular Air"/>
    <n v="21.96"/>
    <n v="22.72"/>
    <n v="8.99"/>
    <x v="270"/>
    <s v="Yukon"/>
    <x v="5"/>
    <x v="1"/>
    <x v="1"/>
    <s v="Office Furnishings"/>
    <x v="270"/>
    <s v="Small Pack"/>
    <n v="0.44"/>
    <d v="2012-03-04T00:00:00"/>
  </r>
  <r>
    <n v="617"/>
    <n v="4257"/>
    <x v="60"/>
    <x v="4"/>
    <n v="45"/>
    <x v="271"/>
    <n v="0.01"/>
    <s v="Regular Air"/>
    <n v="-83.66"/>
    <n v="5.58"/>
    <n v="5.3"/>
    <x v="271"/>
    <s v="British Columbia"/>
    <x v="1"/>
    <x v="3"/>
    <x v="0"/>
    <s v="Envelopes"/>
    <x v="271"/>
    <s v="Small Box"/>
    <n v="0.35"/>
    <d v="2011-03-26T00:00:00"/>
  </r>
  <r>
    <n v="624"/>
    <n v="4324"/>
    <x v="246"/>
    <x v="3"/>
    <n v="28"/>
    <x v="272"/>
    <n v="0.04"/>
    <s v="Regular Air"/>
    <n v="154.85"/>
    <n v="40.97"/>
    <n v="8.99"/>
    <x v="272"/>
    <s v="Yukon"/>
    <x v="5"/>
    <x v="0"/>
    <x v="0"/>
    <s v="Pens &amp; Art Supplies"/>
    <x v="272"/>
    <s v="Small Pack"/>
    <n v="0.59"/>
    <d v="2011-07-18T00:00:00"/>
  </r>
  <r>
    <n v="626"/>
    <n v="4359"/>
    <x v="126"/>
    <x v="3"/>
    <n v="21"/>
    <x v="273"/>
    <n v="0.09"/>
    <s v="Regular Air"/>
    <n v="-97.75"/>
    <n v="10.9"/>
    <n v="7.46"/>
    <x v="273"/>
    <s v="Saskachewan"/>
    <x v="3"/>
    <x v="2"/>
    <x v="0"/>
    <s v="Storage &amp; Organization"/>
    <x v="273"/>
    <s v="Small Box"/>
    <n v="0.59"/>
    <d v="2010-03-04T00:00:00"/>
  </r>
  <r>
    <n v="628"/>
    <n v="4389"/>
    <x v="138"/>
    <x v="4"/>
    <n v="35"/>
    <x v="274"/>
    <n v="7.0000000000000007E-2"/>
    <s v="Regular Air"/>
    <n v="-116.35"/>
    <n v="5.34"/>
    <n v="5.63"/>
    <x v="274"/>
    <s v="Alberta"/>
    <x v="1"/>
    <x v="1"/>
    <x v="0"/>
    <s v="Binders and Binder Accessories"/>
    <x v="274"/>
    <s v="Small Box"/>
    <n v="0.39"/>
    <d v="2009-05-06T00:00:00"/>
  </r>
  <r>
    <n v="632"/>
    <n v="4416"/>
    <x v="247"/>
    <x v="0"/>
    <n v="46"/>
    <x v="275"/>
    <n v="0.1"/>
    <s v="Regular Air"/>
    <n v="2665.4"/>
    <n v="165.98"/>
    <n v="19.989999999999998"/>
    <x v="275"/>
    <s v="Prince Edward Island"/>
    <x v="6"/>
    <x v="1"/>
    <x v="0"/>
    <s v="Binders and Binder Accessories"/>
    <x v="275"/>
    <s v="Small Box"/>
    <n v="0.4"/>
    <d v="2012-07-03T00:00:00"/>
  </r>
  <r>
    <n v="633"/>
    <n v="4422"/>
    <x v="248"/>
    <x v="4"/>
    <n v="12"/>
    <x v="276"/>
    <n v="0.02"/>
    <s v="Regular Air"/>
    <n v="104.03"/>
    <n v="25.38"/>
    <n v="8.99"/>
    <x v="276"/>
    <s v="British Columbia"/>
    <x v="1"/>
    <x v="3"/>
    <x v="1"/>
    <s v="Office Furnishings"/>
    <x v="276"/>
    <s v="Small Pack"/>
    <n v="0.5"/>
    <d v="2011-05-21T00:00:00"/>
  </r>
  <r>
    <n v="637"/>
    <n v="4455"/>
    <x v="249"/>
    <x v="4"/>
    <n v="39"/>
    <x v="277"/>
    <n v="7.0000000000000007E-2"/>
    <s v="Regular Air"/>
    <n v="14.15"/>
    <n v="7.59"/>
    <n v="4"/>
    <x v="277"/>
    <s v="Quebec"/>
    <x v="4"/>
    <x v="0"/>
    <x v="1"/>
    <s v="Office Furnishings"/>
    <x v="277"/>
    <s v="Wrap Bag"/>
    <n v="0.42"/>
    <d v="2010-10-12T00:00:00"/>
  </r>
  <r>
    <n v="638"/>
    <n v="4487"/>
    <x v="163"/>
    <x v="4"/>
    <n v="50"/>
    <x v="278"/>
    <n v="0.05"/>
    <s v="Regular Air"/>
    <n v="-79.42"/>
    <n v="6.54"/>
    <n v="5.27"/>
    <x v="278"/>
    <s v="Nova Scotia"/>
    <x v="6"/>
    <x v="0"/>
    <x v="0"/>
    <s v="Binders and Binder Accessories"/>
    <x v="278"/>
    <s v="Small Box"/>
    <n v="0.36"/>
    <d v="2010-02-23T00:00:00"/>
  </r>
  <r>
    <n v="642"/>
    <n v="4516"/>
    <x v="250"/>
    <x v="4"/>
    <n v="42"/>
    <x v="279"/>
    <n v="0.05"/>
    <s v="Regular Air"/>
    <n v="-113.45"/>
    <n v="6.68"/>
    <n v="6.93"/>
    <x v="279"/>
    <s v="Manitoba"/>
    <x v="3"/>
    <x v="0"/>
    <x v="0"/>
    <s v="Paper"/>
    <x v="279"/>
    <s v="Small Box"/>
    <n v="0.37"/>
    <d v="2009-03-29T00:00:00"/>
  </r>
  <r>
    <n v="649"/>
    <n v="4579"/>
    <x v="251"/>
    <x v="2"/>
    <n v="40"/>
    <x v="280"/>
    <n v="0.05"/>
    <s v="Regular Air"/>
    <n v="749.22"/>
    <n v="43.41"/>
    <n v="2.99"/>
    <x v="280"/>
    <s v="Nova Scotia"/>
    <x v="6"/>
    <x v="0"/>
    <x v="0"/>
    <s v="Binders and Binder Accessories"/>
    <x v="280"/>
    <s v="Small Box"/>
    <n v="0.39"/>
    <d v="2011-12-01T00:00:00"/>
  </r>
  <r>
    <n v="651"/>
    <n v="4581"/>
    <x v="252"/>
    <x v="1"/>
    <n v="25"/>
    <x v="281"/>
    <n v="0.02"/>
    <s v="Regular Air"/>
    <n v="739.91"/>
    <n v="90.48"/>
    <n v="19.989999999999998"/>
    <x v="281"/>
    <s v="Yukon"/>
    <x v="5"/>
    <x v="2"/>
    <x v="0"/>
    <s v="Envelopes"/>
    <x v="281"/>
    <s v="Small Box"/>
    <n v="0.4"/>
    <d v="2012-09-05T00:00:00"/>
  </r>
  <r>
    <n v="653"/>
    <n v="4610"/>
    <x v="239"/>
    <x v="0"/>
    <n v="8"/>
    <x v="282"/>
    <n v="0.09"/>
    <s v="Regular Air"/>
    <n v="-17.010000000000002"/>
    <n v="8.33"/>
    <n v="1.99"/>
    <x v="282"/>
    <s v="Ontario"/>
    <x v="2"/>
    <x v="0"/>
    <x v="2"/>
    <s v="Computer Peripherals"/>
    <x v="282"/>
    <s v="Small Pack"/>
    <n v="0.52"/>
    <d v="2010-06-19T00:00:00"/>
  </r>
  <r>
    <n v="659"/>
    <n v="4645"/>
    <x v="191"/>
    <x v="3"/>
    <n v="30"/>
    <x v="283"/>
    <n v="0.08"/>
    <s v="Regular Air"/>
    <n v="-45.07"/>
    <n v="30.73"/>
    <n v="4"/>
    <x v="283"/>
    <s v="Alberta"/>
    <x v="1"/>
    <x v="0"/>
    <x v="2"/>
    <s v="Computer Peripherals"/>
    <x v="283"/>
    <s v="Small Box"/>
    <n v="0.75"/>
    <d v="2009-09-19T00:00:00"/>
  </r>
  <r>
    <n v="667"/>
    <n v="4674"/>
    <x v="192"/>
    <x v="3"/>
    <n v="23"/>
    <x v="284"/>
    <n v="0.02"/>
    <s v="Delivery Truck"/>
    <n v="-260.41000000000003"/>
    <n v="130.97999999999999"/>
    <n v="30"/>
    <x v="284"/>
    <s v="Saskachewan"/>
    <x v="3"/>
    <x v="1"/>
    <x v="1"/>
    <s v="Chairs &amp; Chairmats"/>
    <x v="284"/>
    <s v="Jumbo Drum"/>
    <n v="0.78"/>
    <d v="2009-04-19T00:00:00"/>
  </r>
  <r>
    <n v="673"/>
    <n v="4705"/>
    <x v="253"/>
    <x v="1"/>
    <n v="16"/>
    <x v="285"/>
    <n v="0.09"/>
    <s v="Regular Air"/>
    <n v="-71.44"/>
    <n v="7.98"/>
    <n v="6.5"/>
    <x v="285"/>
    <s v="Alberta"/>
    <x v="1"/>
    <x v="1"/>
    <x v="0"/>
    <s v="Storage &amp; Organization"/>
    <x v="285"/>
    <s v="Medium Box"/>
    <n v="0.59"/>
    <d v="2012-03-23T00:00:00"/>
  </r>
  <r>
    <n v="687"/>
    <n v="4774"/>
    <x v="254"/>
    <x v="4"/>
    <n v="4"/>
    <x v="286"/>
    <n v="0.08"/>
    <s v="Regular Air"/>
    <n v="-125.99"/>
    <n v="32.979999999999997"/>
    <n v="5.5"/>
    <x v="286"/>
    <s v="Manitoba"/>
    <x v="3"/>
    <x v="1"/>
    <x v="2"/>
    <s v="Computer Peripherals"/>
    <x v="286"/>
    <s v="Small Box"/>
    <n v="0.75"/>
    <d v="2010-04-20T00:00:00"/>
  </r>
  <r>
    <n v="688"/>
    <n v="4800"/>
    <x v="255"/>
    <x v="0"/>
    <n v="4"/>
    <x v="287"/>
    <n v="0.05"/>
    <s v="Regular Air"/>
    <n v="-26.17"/>
    <n v="8.0399999999999991"/>
    <n v="8.94"/>
    <x v="287"/>
    <s v="Quebec"/>
    <x v="4"/>
    <x v="1"/>
    <x v="0"/>
    <s v="Binders and Binder Accessories"/>
    <x v="287"/>
    <s v="Small Box"/>
    <n v="0.4"/>
    <d v="2012-01-12T00:00:00"/>
  </r>
  <r>
    <n v="697"/>
    <n v="4871"/>
    <x v="256"/>
    <x v="3"/>
    <n v="8"/>
    <x v="288"/>
    <n v="0.02"/>
    <s v="Delivery Truck"/>
    <n v="-215.39"/>
    <n v="89.99"/>
    <n v="42"/>
    <x v="288"/>
    <s v="Saskachewan"/>
    <x v="3"/>
    <x v="3"/>
    <x v="1"/>
    <s v="Chairs &amp; Chairmats"/>
    <x v="288"/>
    <s v="Jumbo Drum"/>
    <n v="0.66"/>
    <d v="2011-06-13T00:00:00"/>
  </r>
  <r>
    <n v="699"/>
    <n v="4896"/>
    <x v="257"/>
    <x v="3"/>
    <n v="25"/>
    <x v="289"/>
    <n v="7.0000000000000007E-2"/>
    <s v="Regular Air"/>
    <n v="259.47000000000003"/>
    <n v="35.409999999999997"/>
    <n v="1.99"/>
    <x v="289"/>
    <s v="Nova Scotia"/>
    <x v="6"/>
    <x v="0"/>
    <x v="2"/>
    <s v="Computer Peripherals"/>
    <x v="289"/>
    <s v="Small Pack"/>
    <n v="0.43"/>
    <d v="2012-08-21T00:00:00"/>
  </r>
  <r>
    <n v="702"/>
    <n v="4931"/>
    <x v="258"/>
    <x v="3"/>
    <n v="22"/>
    <x v="290"/>
    <n v="0.1"/>
    <s v="Regular Air"/>
    <n v="46.49"/>
    <n v="8.17"/>
    <n v="1.69"/>
    <x v="290"/>
    <s v="Yukon"/>
    <x v="5"/>
    <x v="1"/>
    <x v="0"/>
    <s v="Paper"/>
    <x v="290"/>
    <s v="Wrap Bag"/>
    <n v="0.38"/>
    <d v="2009-11-16T00:00:00"/>
  </r>
  <r>
    <n v="705"/>
    <n v="4935"/>
    <x v="175"/>
    <x v="1"/>
    <n v="30"/>
    <x v="291"/>
    <n v="0.1"/>
    <s v="Regular Air"/>
    <n v="-31.95"/>
    <n v="3.68"/>
    <n v="1.32"/>
    <x v="291"/>
    <s v="Ontario"/>
    <x v="2"/>
    <x v="1"/>
    <x v="0"/>
    <s v="Scissors, Rulers and Trimmers"/>
    <x v="291"/>
    <s v="Wrap Bag"/>
    <n v="0.83"/>
    <d v="2010-05-27T00:00:00"/>
  </r>
  <r>
    <n v="710"/>
    <n v="4996"/>
    <x v="259"/>
    <x v="4"/>
    <n v="30"/>
    <x v="292"/>
    <n v="0"/>
    <s v="Regular Air"/>
    <n v="1020.32"/>
    <n v="142.86000000000001"/>
    <n v="19.989999999999998"/>
    <x v="292"/>
    <s v="British Columbia"/>
    <x v="1"/>
    <x v="1"/>
    <x v="0"/>
    <s v="Storage &amp; Organization"/>
    <x v="292"/>
    <s v="Small Box"/>
    <n v="0.56000000000000005"/>
    <d v="2012-09-14T00:00:00"/>
  </r>
  <r>
    <n v="712"/>
    <n v="5059"/>
    <x v="260"/>
    <x v="2"/>
    <n v="5"/>
    <x v="293"/>
    <n v="0.1"/>
    <s v="Express Air"/>
    <n v="-19.309999999999999"/>
    <n v="5.44"/>
    <n v="7.46"/>
    <x v="293"/>
    <s v="Saskachewan"/>
    <x v="3"/>
    <x v="0"/>
    <x v="0"/>
    <s v="Binders and Binder Accessories"/>
    <x v="293"/>
    <s v="Small Box"/>
    <n v="0.36"/>
    <d v="2010-11-11T00:00:00"/>
  </r>
  <r>
    <n v="713"/>
    <n v="5061"/>
    <x v="261"/>
    <x v="3"/>
    <n v="4"/>
    <x v="294"/>
    <n v="0"/>
    <s v="Regular Air"/>
    <n v="-2.21"/>
    <n v="2.88"/>
    <n v="0.7"/>
    <x v="294"/>
    <s v="Nova Scotia"/>
    <x v="6"/>
    <x v="1"/>
    <x v="0"/>
    <s v="Pens &amp; Art Supplies"/>
    <x v="294"/>
    <s v="Wrap Bag"/>
    <n v="0.56000000000000005"/>
    <d v="2010-08-15T00:00:00"/>
  </r>
  <r>
    <n v="714"/>
    <n v="5092"/>
    <x v="262"/>
    <x v="0"/>
    <n v="3"/>
    <x v="295"/>
    <n v="0.1"/>
    <s v="Delivery Truck"/>
    <n v="-337.92"/>
    <n v="220.98"/>
    <n v="64.66"/>
    <x v="295"/>
    <s v="Nova Scotia"/>
    <x v="6"/>
    <x v="3"/>
    <x v="1"/>
    <s v="Bookcases"/>
    <x v="295"/>
    <s v="Jumbo Box"/>
    <n v="0.62"/>
    <d v="2011-10-29T00:00:00"/>
  </r>
  <r>
    <n v="716"/>
    <n v="5094"/>
    <x v="263"/>
    <x v="1"/>
    <n v="2"/>
    <x v="296"/>
    <n v="0.06"/>
    <s v="Regular Air"/>
    <n v="-38.28"/>
    <n v="37.44"/>
    <n v="4.2699999999999996"/>
    <x v="296"/>
    <s v="Yukon"/>
    <x v="5"/>
    <x v="0"/>
    <x v="0"/>
    <s v="Pens &amp; Art Supplies"/>
    <x v="296"/>
    <s v="Wrap Bag"/>
    <n v="0.46"/>
    <d v="2010-03-30T00:00:00"/>
  </r>
  <r>
    <n v="717"/>
    <n v="5095"/>
    <x v="264"/>
    <x v="2"/>
    <n v="7"/>
    <x v="297"/>
    <n v="0.01"/>
    <s v="Regular Air"/>
    <n v="-315.02999999999997"/>
    <n v="125.99"/>
    <n v="8.8000000000000007"/>
    <x v="297"/>
    <s v="British Columbia"/>
    <x v="1"/>
    <x v="1"/>
    <x v="2"/>
    <s v="Telephones and Communication"/>
    <x v="297"/>
    <s v="Small Box"/>
    <n v="0.59"/>
    <d v="2012-04-22T00:00:00"/>
  </r>
  <r>
    <n v="720"/>
    <n v="5155"/>
    <x v="265"/>
    <x v="2"/>
    <n v="14"/>
    <x v="298"/>
    <n v="0.01"/>
    <s v="Regular Air"/>
    <n v="-38.51"/>
    <n v="39.979999999999997"/>
    <n v="4"/>
    <x v="298"/>
    <s v="Quebec"/>
    <x v="4"/>
    <x v="1"/>
    <x v="2"/>
    <s v="Computer Peripherals"/>
    <x v="298"/>
    <s v="Small Box"/>
    <n v="0.7"/>
    <d v="2009-06-12T00:00:00"/>
  </r>
  <r>
    <n v="725"/>
    <n v="5217"/>
    <x v="266"/>
    <x v="2"/>
    <n v="8"/>
    <x v="299"/>
    <n v="0.03"/>
    <s v="Express Air"/>
    <n v="27.88"/>
    <n v="40.98"/>
    <n v="5.33"/>
    <x v="299"/>
    <s v="Saskachewan"/>
    <x v="3"/>
    <x v="2"/>
    <x v="0"/>
    <s v="Appliances"/>
    <x v="299"/>
    <s v="Small Box"/>
    <n v="0.56999999999999995"/>
    <d v="2011-10-12T00:00:00"/>
  </r>
  <r>
    <n v="728"/>
    <n v="5222"/>
    <x v="267"/>
    <x v="1"/>
    <n v="40"/>
    <x v="300"/>
    <n v="0.01"/>
    <s v="Delivery Truck"/>
    <n v="4503.63"/>
    <n v="349.45"/>
    <n v="60"/>
    <x v="300"/>
    <s v="Alberta"/>
    <x v="1"/>
    <x v="3"/>
    <x v="1"/>
    <s v="Tables"/>
    <x v="300"/>
    <s v="Jumbo Drum"/>
    <m/>
    <d v="2009-05-27T00:00:00"/>
  </r>
  <r>
    <n v="730"/>
    <n v="5254"/>
    <x v="268"/>
    <x v="1"/>
    <n v="31"/>
    <x v="301"/>
    <n v="0.08"/>
    <s v="Regular Air"/>
    <n v="258.62"/>
    <n v="65.989999999999995"/>
    <n v="8.99"/>
    <x v="301"/>
    <s v="Saskachewan"/>
    <x v="3"/>
    <x v="1"/>
    <x v="2"/>
    <s v="Telephones and Communication"/>
    <x v="301"/>
    <s v="Small Box"/>
    <n v="0.56000000000000005"/>
    <d v="2012-07-27T00:00:00"/>
  </r>
  <r>
    <n v="731"/>
    <n v="5281"/>
    <x v="269"/>
    <x v="2"/>
    <n v="36"/>
    <x v="302"/>
    <n v="0"/>
    <s v="Delivery Truck"/>
    <n v="624.36"/>
    <n v="120.98"/>
    <n v="30"/>
    <x v="302"/>
    <s v="Manitoba"/>
    <x v="3"/>
    <x v="3"/>
    <x v="1"/>
    <s v="Chairs &amp; Chairmats"/>
    <x v="302"/>
    <s v="Jumbo Drum"/>
    <n v="0.64"/>
    <d v="2011-11-02T00:00:00"/>
  </r>
  <r>
    <n v="741"/>
    <n v="5346"/>
    <x v="270"/>
    <x v="3"/>
    <n v="34"/>
    <x v="303"/>
    <n v="7.0000000000000007E-2"/>
    <s v="Regular Air"/>
    <n v="-1448.83"/>
    <n v="90.98"/>
    <n v="56.2"/>
    <x v="303"/>
    <s v="British Columbia"/>
    <x v="1"/>
    <x v="2"/>
    <x v="1"/>
    <s v="Office Furnishings"/>
    <x v="303"/>
    <s v="Medium Box"/>
    <n v="0.74"/>
    <d v="2010-12-26T00:00:00"/>
  </r>
  <r>
    <n v="744"/>
    <n v="5347"/>
    <x v="237"/>
    <x v="4"/>
    <n v="7"/>
    <x v="304"/>
    <n v="0.04"/>
    <s v="Regular Air"/>
    <n v="-60.67"/>
    <n v="85.99"/>
    <n v="1.25"/>
    <x v="304"/>
    <s v="Alberta"/>
    <x v="1"/>
    <x v="1"/>
    <x v="2"/>
    <s v="Telephones and Communication"/>
    <x v="304"/>
    <s v="Small Pack"/>
    <n v="0.39"/>
    <d v="2011-02-23T00:00:00"/>
  </r>
  <r>
    <n v="747"/>
    <n v="5350"/>
    <x v="271"/>
    <x v="0"/>
    <n v="39"/>
    <x v="305"/>
    <n v="0.03"/>
    <s v="Regular Air"/>
    <n v="-12.2"/>
    <n v="11.33"/>
    <n v="6.12"/>
    <x v="305"/>
    <s v="Alberta"/>
    <x v="1"/>
    <x v="3"/>
    <x v="0"/>
    <s v="Appliances"/>
    <x v="305"/>
    <s v="Medium Box"/>
    <n v="0.42"/>
    <d v="2010-10-11T00:00:00"/>
  </r>
  <r>
    <n v="755"/>
    <n v="5409"/>
    <x v="272"/>
    <x v="0"/>
    <n v="11"/>
    <x v="306"/>
    <n v="0.01"/>
    <s v="Regular Air"/>
    <n v="-7.04"/>
    <n v="3.98"/>
    <n v="2.97"/>
    <x v="306"/>
    <s v="Nunavut"/>
    <x v="0"/>
    <x v="1"/>
    <x v="0"/>
    <s v="Paper"/>
    <x v="306"/>
    <s v="Wrap Bag"/>
    <n v="0.35"/>
    <d v="2012-01-13T00:00:00"/>
  </r>
  <r>
    <n v="759"/>
    <n v="5444"/>
    <x v="5"/>
    <x v="3"/>
    <n v="2"/>
    <x v="307"/>
    <n v="0.08"/>
    <s v="Regular Air"/>
    <n v="-2024.08"/>
    <n v="449.99"/>
    <n v="24.49"/>
    <x v="307"/>
    <s v="Ontario"/>
    <x v="2"/>
    <x v="0"/>
    <x v="2"/>
    <s v="Copiers and Fax"/>
    <x v="307"/>
    <s v="Large Box"/>
    <n v="0.52"/>
    <d v="2011-03-19T00:00:00"/>
  </r>
  <r>
    <n v="767"/>
    <n v="5504"/>
    <x v="273"/>
    <x v="2"/>
    <n v="6"/>
    <x v="308"/>
    <n v="0.06"/>
    <s v="Express Air"/>
    <n v="-20.329999999999998"/>
    <n v="5.78"/>
    <n v="7.64"/>
    <x v="308"/>
    <s v="British Columbia"/>
    <x v="1"/>
    <x v="0"/>
    <x v="0"/>
    <s v="Paper"/>
    <x v="308"/>
    <s v="Small Box"/>
    <n v="0.36"/>
    <d v="2010-01-07T00:00:00"/>
  </r>
  <r>
    <n v="769"/>
    <n v="5506"/>
    <x v="274"/>
    <x v="3"/>
    <n v="22"/>
    <x v="309"/>
    <n v="0.05"/>
    <s v="Regular Air"/>
    <n v="4.41"/>
    <n v="5.88"/>
    <n v="3.04"/>
    <x v="309"/>
    <s v="Nunavut"/>
    <x v="0"/>
    <x v="1"/>
    <x v="0"/>
    <s v="Paper"/>
    <x v="309"/>
    <s v="Wrap Bag"/>
    <n v="0.36"/>
    <d v="2010-11-08T00:00:00"/>
  </r>
  <r>
    <n v="783"/>
    <n v="5572"/>
    <x v="275"/>
    <x v="2"/>
    <n v="37"/>
    <x v="310"/>
    <n v="0.03"/>
    <s v="Regular Air"/>
    <n v="-133.69999999999999"/>
    <n v="7.37"/>
    <n v="5.53"/>
    <x v="310"/>
    <s v="Ontario"/>
    <x v="2"/>
    <x v="1"/>
    <x v="2"/>
    <s v="Computer Peripherals"/>
    <x v="310"/>
    <s v="Small Pack"/>
    <n v="0.69"/>
    <d v="2009-07-18T00:00:00"/>
  </r>
  <r>
    <n v="784"/>
    <n v="5575"/>
    <x v="276"/>
    <x v="0"/>
    <n v="41"/>
    <x v="311"/>
    <n v="0.06"/>
    <s v="Regular Air"/>
    <n v="-269.37"/>
    <n v="5.98"/>
    <n v="10.39"/>
    <x v="311"/>
    <s v="Saskachewan"/>
    <x v="3"/>
    <x v="1"/>
    <x v="0"/>
    <s v="Paper"/>
    <x v="311"/>
    <s v="Small Box"/>
    <n v="0.4"/>
    <d v="2011-07-23T00:00:00"/>
  </r>
  <r>
    <n v="785"/>
    <n v="5601"/>
    <x v="255"/>
    <x v="2"/>
    <n v="10"/>
    <x v="312"/>
    <n v="0.1"/>
    <s v="Regular Air"/>
    <n v="49.26"/>
    <n v="12.22"/>
    <n v="2.85"/>
    <x v="312"/>
    <s v="Ontario"/>
    <x v="2"/>
    <x v="3"/>
    <x v="1"/>
    <s v="Office Furnishings"/>
    <x v="312"/>
    <s v="Small Pack"/>
    <n v="0.55000000000000004"/>
    <d v="2012-01-06T00:00:00"/>
  </r>
  <r>
    <n v="789"/>
    <n v="5636"/>
    <x v="277"/>
    <x v="4"/>
    <n v="23"/>
    <x v="313"/>
    <n v="0"/>
    <s v="Regular Air"/>
    <n v="-1.0900000000000001"/>
    <n v="5.85"/>
    <n v="2.27"/>
    <x v="313"/>
    <s v="Quebec"/>
    <x v="4"/>
    <x v="0"/>
    <x v="0"/>
    <s v="Pens &amp; Art Supplies"/>
    <x v="313"/>
    <s v="Wrap Bag"/>
    <n v="0.56000000000000005"/>
    <d v="2011-02-17T00:00:00"/>
  </r>
  <r>
    <n v="790"/>
    <n v="5639"/>
    <x v="151"/>
    <x v="4"/>
    <n v="31"/>
    <x v="314"/>
    <n v="0.03"/>
    <s v="Regular Air"/>
    <n v="-71.95"/>
    <n v="15.31"/>
    <n v="8.7799999999999994"/>
    <x v="314"/>
    <s v="Ontario"/>
    <x v="2"/>
    <x v="0"/>
    <x v="0"/>
    <s v="Storage &amp; Organization"/>
    <x v="314"/>
    <s v="Small Box"/>
    <n v="0.56999999999999995"/>
    <d v="2009-06-02T00:00:00"/>
  </r>
  <r>
    <n v="791"/>
    <n v="5696"/>
    <x v="278"/>
    <x v="3"/>
    <n v="4"/>
    <x v="315"/>
    <n v="0.02"/>
    <s v="Regular Air"/>
    <n v="251.43"/>
    <n v="525.98"/>
    <n v="19.989999999999998"/>
    <x v="315"/>
    <s v="Manitoba"/>
    <x v="3"/>
    <x v="3"/>
    <x v="0"/>
    <s v="Binders and Binder Accessories"/>
    <x v="315"/>
    <s v="Small Box"/>
    <n v="0.37"/>
    <d v="2011-05-05T00:00:00"/>
  </r>
  <r>
    <n v="795"/>
    <n v="5698"/>
    <x v="279"/>
    <x v="4"/>
    <n v="15"/>
    <x v="316"/>
    <n v="0.09"/>
    <s v="Regular Air"/>
    <n v="-16.89"/>
    <n v="20.48"/>
    <n v="6.32"/>
    <x v="316"/>
    <s v="British Columbia"/>
    <x v="1"/>
    <x v="3"/>
    <x v="0"/>
    <s v="Appliances"/>
    <x v="316"/>
    <s v="Small Box"/>
    <n v="0.57999999999999996"/>
    <d v="2009-05-21T00:00:00"/>
  </r>
  <r>
    <n v="797"/>
    <n v="5699"/>
    <x v="280"/>
    <x v="0"/>
    <n v="2"/>
    <x v="317"/>
    <n v="0.01"/>
    <s v="Regular Air"/>
    <n v="-4.21"/>
    <n v="4.13"/>
    <n v="0.99"/>
    <x v="317"/>
    <s v="Ontario"/>
    <x v="2"/>
    <x v="0"/>
    <x v="0"/>
    <s v="Labels"/>
    <x v="317"/>
    <s v="Small Box"/>
    <n v="0.39"/>
    <d v="2012-08-03T00:00:00"/>
  </r>
  <r>
    <n v="802"/>
    <n v="5760"/>
    <x v="281"/>
    <x v="1"/>
    <n v="34"/>
    <x v="318"/>
    <n v="0.05"/>
    <s v="Delivery Truck"/>
    <n v="650.29999999999995"/>
    <n v="150.97999999999999"/>
    <n v="43.71"/>
    <x v="318"/>
    <s v="Ontario"/>
    <x v="2"/>
    <x v="2"/>
    <x v="1"/>
    <s v="Chairs &amp; Chairmats"/>
    <x v="318"/>
    <s v="Jumbo Drum"/>
    <n v="0.55000000000000004"/>
    <d v="2009-05-25T00:00:00"/>
  </r>
  <r>
    <n v="809"/>
    <n v="5830"/>
    <x v="282"/>
    <x v="4"/>
    <n v="49"/>
    <x v="319"/>
    <n v="7.0000000000000007E-2"/>
    <s v="Regular Air"/>
    <n v="241.74"/>
    <n v="40.97"/>
    <n v="14.45"/>
    <x v="319"/>
    <s v="Nova Scotia"/>
    <x v="6"/>
    <x v="1"/>
    <x v="1"/>
    <s v="Office Furnishings"/>
    <x v="319"/>
    <s v="Large Box"/>
    <n v="0.56999999999999995"/>
    <d v="2010-03-25T00:00:00"/>
  </r>
  <r>
    <n v="814"/>
    <n v="5863"/>
    <x v="283"/>
    <x v="4"/>
    <n v="40"/>
    <x v="320"/>
    <n v="0.05"/>
    <s v="Regular Air"/>
    <n v="207.18"/>
    <n v="22.98"/>
    <n v="7.58"/>
    <x v="320"/>
    <s v="Manitoba"/>
    <x v="3"/>
    <x v="1"/>
    <x v="1"/>
    <s v="Office Furnishings"/>
    <x v="320"/>
    <s v="Small Box"/>
    <n v="0.51"/>
    <d v="2010-11-22T00:00:00"/>
  </r>
  <r>
    <n v="815"/>
    <n v="5890"/>
    <x v="284"/>
    <x v="2"/>
    <n v="42"/>
    <x v="321"/>
    <n v="0"/>
    <s v="Express Air"/>
    <n v="435.95"/>
    <n v="20.99"/>
    <n v="0.99"/>
    <x v="321"/>
    <s v="Nova Scotia"/>
    <x v="6"/>
    <x v="3"/>
    <x v="2"/>
    <s v="Telephones and Communication"/>
    <x v="321"/>
    <s v="Wrap Bag"/>
    <n v="0.37"/>
    <d v="2012-11-04T00:00:00"/>
  </r>
  <r>
    <n v="817"/>
    <n v="5894"/>
    <x v="285"/>
    <x v="2"/>
    <n v="7"/>
    <x v="322"/>
    <n v="0.1"/>
    <s v="Regular Air"/>
    <n v="87.68"/>
    <n v="58.1"/>
    <n v="1.49"/>
    <x v="322"/>
    <s v="Nunavut"/>
    <x v="0"/>
    <x v="1"/>
    <x v="0"/>
    <s v="Binders and Binder Accessories"/>
    <x v="322"/>
    <s v="Small Box"/>
    <n v="0.38"/>
    <d v="2009-08-13T00:00:00"/>
  </r>
  <r>
    <n v="819"/>
    <n v="5920"/>
    <x v="286"/>
    <x v="2"/>
    <n v="4"/>
    <x v="323"/>
    <n v="7.0000000000000007E-2"/>
    <s v="Regular Air"/>
    <n v="-121.75"/>
    <n v="155.06"/>
    <n v="7.07"/>
    <x v="323"/>
    <s v="Ontario"/>
    <x v="2"/>
    <x v="3"/>
    <x v="0"/>
    <s v="Storage &amp; Organization"/>
    <x v="323"/>
    <s v="Small Box"/>
    <n v="0.59"/>
    <d v="2009-11-19T00:00:00"/>
  </r>
  <r>
    <n v="820"/>
    <n v="5921"/>
    <x v="287"/>
    <x v="0"/>
    <n v="27"/>
    <x v="324"/>
    <n v="0.01"/>
    <s v="Express Air"/>
    <n v="2.69"/>
    <n v="13.43"/>
    <n v="5.5"/>
    <x v="324"/>
    <s v="Manitoba"/>
    <x v="3"/>
    <x v="1"/>
    <x v="0"/>
    <s v="Storage &amp; Organization"/>
    <x v="324"/>
    <s v="Small Box"/>
    <n v="0.56999999999999995"/>
    <d v="2009-04-13T00:00:00"/>
  </r>
  <r>
    <n v="821"/>
    <n v="5925"/>
    <x v="288"/>
    <x v="0"/>
    <n v="44"/>
    <x v="325"/>
    <n v="0.08"/>
    <s v="Regular Air"/>
    <n v="-354.9"/>
    <n v="92.23"/>
    <n v="39.61"/>
    <x v="325"/>
    <s v="Nunavut"/>
    <x v="0"/>
    <x v="2"/>
    <x v="1"/>
    <s v="Office Furnishings"/>
    <x v="325"/>
    <s v="Medium Box"/>
    <n v="0.67"/>
    <d v="2011-11-19T00:00:00"/>
  </r>
  <r>
    <n v="832"/>
    <n v="5986"/>
    <x v="264"/>
    <x v="2"/>
    <n v="48"/>
    <x v="326"/>
    <n v="0.08"/>
    <s v="Regular Air"/>
    <n v="1638.48"/>
    <n v="120.98"/>
    <n v="3.99"/>
    <x v="326"/>
    <s v="Ontario"/>
    <x v="2"/>
    <x v="0"/>
    <x v="0"/>
    <s v="Appliances"/>
    <x v="326"/>
    <s v="Small Box"/>
    <n v="0.6"/>
    <d v="2012-04-21T00:00:00"/>
  </r>
  <r>
    <n v="836"/>
    <n v="5989"/>
    <x v="289"/>
    <x v="4"/>
    <n v="6"/>
    <x v="327"/>
    <n v="0.1"/>
    <s v="Regular Air"/>
    <n v="-6.64"/>
    <n v="25.98"/>
    <n v="5.37"/>
    <x v="327"/>
    <s v="Yukon"/>
    <x v="5"/>
    <x v="1"/>
    <x v="0"/>
    <s v="Appliances"/>
    <x v="327"/>
    <s v="Medium Box"/>
    <n v="0.5"/>
    <d v="2011-10-16T00:00:00"/>
  </r>
  <r>
    <n v="838"/>
    <n v="5990"/>
    <x v="290"/>
    <x v="3"/>
    <n v="9"/>
    <x v="328"/>
    <n v="0.06"/>
    <s v="Regular Air"/>
    <n v="-27.78"/>
    <n v="6.48"/>
    <n v="6.35"/>
    <x v="328"/>
    <s v="Yukon"/>
    <x v="5"/>
    <x v="2"/>
    <x v="0"/>
    <s v="Paper"/>
    <x v="328"/>
    <s v="Small Box"/>
    <n v="0.37"/>
    <d v="2010-04-08T00:00:00"/>
  </r>
  <r>
    <n v="839"/>
    <n v="6016"/>
    <x v="291"/>
    <x v="2"/>
    <n v="19"/>
    <x v="329"/>
    <n v="7.0000000000000007E-2"/>
    <s v="Regular Air"/>
    <n v="3.63"/>
    <n v="11.48"/>
    <n v="5.43"/>
    <x v="329"/>
    <s v="Nunavut"/>
    <x v="0"/>
    <x v="2"/>
    <x v="0"/>
    <s v="Paper"/>
    <x v="329"/>
    <s v="Small Box"/>
    <n v="0.36"/>
    <d v="2012-01-20T00:00:00"/>
  </r>
  <r>
    <n v="840"/>
    <n v="6018"/>
    <x v="292"/>
    <x v="0"/>
    <n v="39"/>
    <x v="330"/>
    <n v="0"/>
    <s v="Regular Air"/>
    <n v="36.04"/>
    <n v="5.08"/>
    <n v="2.0299999999999998"/>
    <x v="330"/>
    <s v="Saskachewan"/>
    <x v="3"/>
    <x v="2"/>
    <x v="1"/>
    <s v="Office Furnishings"/>
    <x v="330"/>
    <s v="Wrap Bag"/>
    <n v="0.51"/>
    <d v="2012-08-20T00:00:00"/>
  </r>
  <r>
    <n v="842"/>
    <n v="6020"/>
    <x v="293"/>
    <x v="4"/>
    <n v="23"/>
    <x v="331"/>
    <n v="0.09"/>
    <s v="Regular Air"/>
    <n v="13.71"/>
    <n v="2.88"/>
    <n v="0.99"/>
    <x v="331"/>
    <s v="Saskachewan"/>
    <x v="3"/>
    <x v="1"/>
    <x v="0"/>
    <s v="Labels"/>
    <x v="331"/>
    <s v="Small Box"/>
    <n v="0.36"/>
    <d v="2009-09-23T00:00:00"/>
  </r>
  <r>
    <n v="843"/>
    <n v="6050"/>
    <x v="263"/>
    <x v="0"/>
    <n v="3"/>
    <x v="332"/>
    <n v="0.06"/>
    <s v="Delivery Truck"/>
    <n v="-219.78"/>
    <n v="80.97"/>
    <n v="33.6"/>
    <x v="332"/>
    <s v="Quebec"/>
    <x v="4"/>
    <x v="0"/>
    <x v="2"/>
    <s v="Office Machines"/>
    <x v="332"/>
    <s v="Jumbo Drum"/>
    <n v="0.37"/>
    <d v="2010-04-04T00:00:00"/>
  </r>
  <r>
    <n v="848"/>
    <n v="6086"/>
    <x v="185"/>
    <x v="3"/>
    <n v="48"/>
    <x v="333"/>
    <n v="0.04"/>
    <s v="Regular Air"/>
    <n v="57.89"/>
    <n v="35.44"/>
    <n v="19.989999999999998"/>
    <x v="333"/>
    <s v="Quebec"/>
    <x v="4"/>
    <x v="1"/>
    <x v="0"/>
    <s v="Paper"/>
    <x v="333"/>
    <s v="Small Box"/>
    <n v="0.38"/>
    <d v="2011-09-24T00:00:00"/>
  </r>
  <r>
    <n v="868"/>
    <n v="6241"/>
    <x v="294"/>
    <x v="0"/>
    <n v="24"/>
    <x v="334"/>
    <n v="0.08"/>
    <s v="Express Air"/>
    <n v="45"/>
    <n v="5.84"/>
    <n v="1"/>
    <x v="334"/>
    <s v="Manitoba"/>
    <x v="3"/>
    <x v="0"/>
    <x v="0"/>
    <s v="Pens &amp; Art Supplies"/>
    <x v="334"/>
    <s v="Wrap Bag"/>
    <n v="0.38"/>
    <d v="2010-01-03T00:00:00"/>
  </r>
  <r>
    <n v="877"/>
    <n v="6304"/>
    <x v="295"/>
    <x v="2"/>
    <n v="30"/>
    <x v="335"/>
    <n v="0.01"/>
    <s v="Regular Air"/>
    <n v="-83.33"/>
    <n v="6.48"/>
    <n v="6.65"/>
    <x v="335"/>
    <s v="Alberta"/>
    <x v="1"/>
    <x v="1"/>
    <x v="0"/>
    <s v="Paper"/>
    <x v="335"/>
    <s v="Small Box"/>
    <n v="0.36"/>
    <d v="2011-08-13T00:00:00"/>
  </r>
  <r>
    <n v="879"/>
    <n v="6310"/>
    <x v="296"/>
    <x v="1"/>
    <n v="27"/>
    <x v="336"/>
    <n v="0.08"/>
    <s v="Regular Air"/>
    <n v="-88.82"/>
    <n v="8.09"/>
    <n v="7.96"/>
    <x v="336"/>
    <s v="Alberta"/>
    <x v="1"/>
    <x v="3"/>
    <x v="1"/>
    <s v="Office Furnishings"/>
    <x v="336"/>
    <s v="Small Box"/>
    <n v="0.49"/>
    <d v="2009-05-04T00:00:00"/>
  </r>
  <r>
    <n v="881"/>
    <n v="6336"/>
    <x v="297"/>
    <x v="2"/>
    <n v="43"/>
    <x v="337"/>
    <n v="0.01"/>
    <s v="Express Air"/>
    <n v="-84.13"/>
    <n v="7.1"/>
    <n v="6.05"/>
    <x v="337"/>
    <s v="Saskachewan"/>
    <x v="3"/>
    <x v="2"/>
    <x v="0"/>
    <s v="Binders and Binder Accessories"/>
    <x v="337"/>
    <s v="Small Box"/>
    <n v="0.39"/>
    <d v="2011-08-30T00:00:00"/>
  </r>
  <r>
    <n v="888"/>
    <n v="6374"/>
    <x v="298"/>
    <x v="3"/>
    <n v="29"/>
    <x v="338"/>
    <n v="7.0000000000000007E-2"/>
    <s v="Express Air"/>
    <n v="51.18"/>
    <n v="31.11"/>
    <n v="3.6"/>
    <x v="338"/>
    <s v="British Columbia"/>
    <x v="1"/>
    <x v="1"/>
    <x v="2"/>
    <s v="Computer Peripherals"/>
    <x v="338"/>
    <s v="Small Pack"/>
    <n v="0.64"/>
    <d v="2011-08-08T00:00:00"/>
  </r>
  <r>
    <n v="890"/>
    <n v="6402"/>
    <x v="299"/>
    <x v="0"/>
    <n v="35"/>
    <x v="339"/>
    <n v="0.01"/>
    <s v="Regular Air"/>
    <n v="-22.18"/>
    <n v="10.23"/>
    <n v="4.68"/>
    <x v="339"/>
    <s v="New Brunswick"/>
    <x v="6"/>
    <x v="1"/>
    <x v="0"/>
    <s v="Scissors, Rulers and Trimmers"/>
    <x v="339"/>
    <s v="Small Pack"/>
    <n v="0.59"/>
    <d v="2011-04-28T00:00:00"/>
  </r>
  <r>
    <n v="896"/>
    <n v="6438"/>
    <x v="300"/>
    <x v="1"/>
    <n v="7"/>
    <x v="340"/>
    <n v="0.02"/>
    <s v="Regular Air"/>
    <n v="20.29"/>
    <n v="9.77"/>
    <n v="6.02"/>
    <x v="340"/>
    <s v="Ontario"/>
    <x v="2"/>
    <x v="1"/>
    <x v="1"/>
    <s v="Office Furnishings"/>
    <x v="340"/>
    <s v="Medium Box"/>
    <n v="0.48"/>
    <d v="2010-05-16T00:00:00"/>
  </r>
  <r>
    <n v="898"/>
    <n v="6464"/>
    <x v="301"/>
    <x v="4"/>
    <n v="1"/>
    <x v="341"/>
    <n v="7.0000000000000007E-2"/>
    <s v="Regular Air"/>
    <n v="-41.77"/>
    <n v="60.97"/>
    <n v="4.5"/>
    <x v="341"/>
    <s v="Quebec"/>
    <x v="4"/>
    <x v="3"/>
    <x v="0"/>
    <s v="Appliances"/>
    <x v="341"/>
    <s v="Small Box"/>
    <n v="0.56000000000000005"/>
    <d v="2009-05-30T00:00:00"/>
  </r>
  <r>
    <n v="900"/>
    <n v="6465"/>
    <x v="302"/>
    <x v="0"/>
    <n v="36"/>
    <x v="342"/>
    <n v="0.06"/>
    <s v="Express Air"/>
    <n v="57.78"/>
    <n v="6.88"/>
    <n v="2"/>
    <x v="342"/>
    <s v="Nova Scotia"/>
    <x v="6"/>
    <x v="0"/>
    <x v="0"/>
    <s v="Paper"/>
    <x v="342"/>
    <s v="Wrap Bag"/>
    <n v="0.39"/>
    <d v="2011-08-19T00:00:00"/>
  </r>
  <r>
    <n v="901"/>
    <n v="6498"/>
    <x v="303"/>
    <x v="4"/>
    <n v="38"/>
    <x v="343"/>
    <n v="0.01"/>
    <s v="Express Air"/>
    <n v="-40.76"/>
    <n v="8.1199999999999992"/>
    <n v="2.83"/>
    <x v="343"/>
    <s v="Ontario"/>
    <x v="2"/>
    <x v="2"/>
    <x v="2"/>
    <s v="Computer Peripherals"/>
    <x v="343"/>
    <s v="Small Pack"/>
    <n v="0.77"/>
    <d v="2009-03-18T00:00:00"/>
  </r>
  <r>
    <n v="908"/>
    <n v="6529"/>
    <x v="304"/>
    <x v="4"/>
    <n v="35"/>
    <x v="344"/>
    <n v="0.04"/>
    <s v="Regular Air"/>
    <n v="20.71"/>
    <n v="2.62"/>
    <n v="0.8"/>
    <x v="344"/>
    <s v="Saskachewan"/>
    <x v="3"/>
    <x v="0"/>
    <x v="0"/>
    <s v="Rubber Bands"/>
    <x v="344"/>
    <s v="Wrap Bag"/>
    <n v="0.39"/>
    <d v="2012-11-28T00:00:00"/>
  </r>
  <r>
    <n v="909"/>
    <n v="6531"/>
    <x v="305"/>
    <x v="2"/>
    <n v="42"/>
    <x v="345"/>
    <n v="0.05"/>
    <s v="Regular Air"/>
    <n v="-145.1"/>
    <n v="4.37"/>
    <n v="5.15"/>
    <x v="345"/>
    <s v="Yukon"/>
    <x v="5"/>
    <x v="2"/>
    <x v="0"/>
    <s v="Appliances"/>
    <x v="345"/>
    <s v="Small Box"/>
    <n v="0.59"/>
    <d v="2010-07-19T00:00:00"/>
  </r>
  <r>
    <n v="912"/>
    <n v="6560"/>
    <x v="73"/>
    <x v="0"/>
    <n v="20"/>
    <x v="346"/>
    <n v="0.09"/>
    <s v="Regular Air"/>
    <n v="-18.73"/>
    <n v="8.67"/>
    <n v="3.5"/>
    <x v="346"/>
    <s v="Saskachewan"/>
    <x v="3"/>
    <x v="1"/>
    <x v="0"/>
    <s v="Appliances"/>
    <x v="346"/>
    <s v="Small Box"/>
    <n v="0.57999999999999996"/>
    <d v="2011-01-08T00:00:00"/>
  </r>
  <r>
    <n v="926"/>
    <n v="6695"/>
    <x v="306"/>
    <x v="0"/>
    <n v="49"/>
    <x v="347"/>
    <n v="0.08"/>
    <s v="Express Air"/>
    <n v="-279.93"/>
    <n v="5.81"/>
    <n v="8.49"/>
    <x v="347"/>
    <s v="Nova Scotia"/>
    <x v="6"/>
    <x v="1"/>
    <x v="0"/>
    <s v="Binders and Binder Accessories"/>
    <x v="347"/>
    <s v="Small Box"/>
    <n v="0.39"/>
    <d v="2012-06-27T00:00:00"/>
  </r>
  <r>
    <n v="934"/>
    <n v="6757"/>
    <x v="307"/>
    <x v="4"/>
    <n v="27"/>
    <x v="348"/>
    <n v="0.1"/>
    <s v="Regular Air"/>
    <n v="43.36"/>
    <n v="34.76"/>
    <n v="8.2200000000000006"/>
    <x v="348"/>
    <s v="Alberta"/>
    <x v="1"/>
    <x v="0"/>
    <x v="0"/>
    <s v="Storage &amp; Organization"/>
    <x v="348"/>
    <s v="Small Box"/>
    <n v="0.56999999999999995"/>
    <d v="2012-02-03T00:00:00"/>
  </r>
  <r>
    <n v="939"/>
    <n v="6791"/>
    <x v="308"/>
    <x v="4"/>
    <n v="14"/>
    <x v="349"/>
    <n v="0.1"/>
    <s v="Express Air"/>
    <n v="110.77"/>
    <n v="51.98"/>
    <n v="10.17"/>
    <x v="349"/>
    <s v="Alberta"/>
    <x v="1"/>
    <x v="0"/>
    <x v="2"/>
    <s v="Office Machines"/>
    <x v="349"/>
    <s v="Medium Box"/>
    <n v="0.37"/>
    <d v="2011-02-03T00:00:00"/>
  </r>
  <r>
    <n v="947"/>
    <n v="6854"/>
    <x v="309"/>
    <x v="4"/>
    <n v="1"/>
    <x v="350"/>
    <n v="7.0000000000000007E-2"/>
    <s v="Express Air"/>
    <n v="-2.39"/>
    <n v="7.68"/>
    <n v="6.16"/>
    <x v="350"/>
    <s v="Manitoba"/>
    <x v="3"/>
    <x v="3"/>
    <x v="0"/>
    <s v="Binders and Binder Accessories"/>
    <x v="350"/>
    <s v="Small Box"/>
    <n v="0.35"/>
    <d v="2009-01-08T00:00:00"/>
  </r>
  <r>
    <n v="949"/>
    <n v="6880"/>
    <x v="227"/>
    <x v="4"/>
    <n v="5"/>
    <x v="351"/>
    <n v="0.06"/>
    <s v="Regular Air"/>
    <n v="21.78"/>
    <n v="47.9"/>
    <n v="5.86"/>
    <x v="351"/>
    <s v="Yukon"/>
    <x v="5"/>
    <x v="3"/>
    <x v="0"/>
    <s v="Paper"/>
    <x v="351"/>
    <s v="Small Box"/>
    <n v="0.37"/>
    <d v="2009-05-27T00:00:00"/>
  </r>
  <r>
    <n v="957"/>
    <n v="6918"/>
    <x v="310"/>
    <x v="3"/>
    <n v="38"/>
    <x v="352"/>
    <n v="0.01"/>
    <s v="Regular Air"/>
    <n v="515.83000000000004"/>
    <n v="39.479999999999997"/>
    <n v="1.99"/>
    <x v="352"/>
    <s v="Ontario"/>
    <x v="2"/>
    <x v="3"/>
    <x v="2"/>
    <s v="Computer Peripherals"/>
    <x v="352"/>
    <s v="Small Pack"/>
    <n v="0.54"/>
    <d v="2011-07-03T00:00:00"/>
  </r>
  <r>
    <n v="958"/>
    <n v="6947"/>
    <x v="311"/>
    <x v="3"/>
    <n v="9"/>
    <x v="353"/>
    <n v="0"/>
    <s v="Regular Air"/>
    <n v="-51.01"/>
    <n v="51.65"/>
    <n v="18.45"/>
    <x v="353"/>
    <s v="Manitoba"/>
    <x v="3"/>
    <x v="0"/>
    <x v="1"/>
    <s v="Office Furnishings"/>
    <x v="353"/>
    <s v="Medium Box"/>
    <n v="0.65"/>
    <d v="2011-07-21T00:00:00"/>
  </r>
  <r>
    <n v="959"/>
    <n v="6948"/>
    <x v="312"/>
    <x v="1"/>
    <n v="15"/>
    <x v="354"/>
    <n v="0.04"/>
    <s v="Regular Air"/>
    <n v="-88.7"/>
    <n v="73.98"/>
    <n v="4"/>
    <x v="354"/>
    <s v="Ontario"/>
    <x v="2"/>
    <x v="1"/>
    <x v="2"/>
    <s v="Computer Peripherals"/>
    <x v="354"/>
    <s v="Small Box"/>
    <n v="0.79"/>
    <d v="2010-12-10T00:00:00"/>
  </r>
  <r>
    <n v="960"/>
    <n v="6950"/>
    <x v="313"/>
    <x v="0"/>
    <n v="4"/>
    <x v="355"/>
    <n v="0.08"/>
    <s v="Regular Air"/>
    <n v="-225.3"/>
    <n v="55.99"/>
    <n v="3.3"/>
    <x v="355"/>
    <s v="Quebec"/>
    <x v="4"/>
    <x v="2"/>
    <x v="2"/>
    <s v="Telephones and Communication"/>
    <x v="355"/>
    <s v="Small Pack"/>
    <n v="0.59"/>
    <d v="2012-03-28T00:00:00"/>
  </r>
  <r>
    <n v="969"/>
    <n v="7042"/>
    <x v="272"/>
    <x v="4"/>
    <n v="4"/>
    <x v="356"/>
    <n v="7.0000000000000007E-2"/>
    <s v="Delivery Truck"/>
    <n v="-347.16"/>
    <n v="376.13"/>
    <n v="85.63"/>
    <x v="356"/>
    <s v="Yukon"/>
    <x v="5"/>
    <x v="2"/>
    <x v="1"/>
    <s v="Tables"/>
    <x v="356"/>
    <s v="Jumbo Box"/>
    <n v="0.74"/>
    <d v="2012-01-10T00:00:00"/>
  </r>
  <r>
    <n v="982"/>
    <n v="7106"/>
    <x v="314"/>
    <x v="0"/>
    <n v="8"/>
    <x v="357"/>
    <n v="0.05"/>
    <s v="Regular Air"/>
    <n v="-12.77"/>
    <n v="14.27"/>
    <n v="7.27"/>
    <x v="357"/>
    <s v="Nova Scotia"/>
    <x v="6"/>
    <x v="2"/>
    <x v="0"/>
    <s v="Binders and Binder Accessories"/>
    <x v="357"/>
    <s v="Small Box"/>
    <n v="0.38"/>
    <d v="2012-05-12T00:00:00"/>
  </r>
  <r>
    <n v="985"/>
    <n v="7107"/>
    <x v="315"/>
    <x v="1"/>
    <n v="3"/>
    <x v="358"/>
    <n v="0.02"/>
    <s v="Regular Air"/>
    <n v="143.08000000000001"/>
    <n v="54.2"/>
    <n v="11.1"/>
    <x v="358"/>
    <s v="Manitoba"/>
    <x v="3"/>
    <x v="1"/>
    <x v="1"/>
    <s v="Office Furnishings"/>
    <x v="358"/>
    <s v="Medium Box"/>
    <n v="0.64"/>
    <d v="2012-01-04T00:00:00"/>
  </r>
  <r>
    <n v="994"/>
    <n v="7171"/>
    <x v="316"/>
    <x v="4"/>
    <n v="28"/>
    <x v="359"/>
    <n v="0"/>
    <s v="Regular Air"/>
    <n v="316.06"/>
    <n v="65.989999999999995"/>
    <n v="8.99"/>
    <x v="359"/>
    <s v="Saskachewan"/>
    <x v="3"/>
    <x v="3"/>
    <x v="2"/>
    <s v="Telephones and Communication"/>
    <x v="359"/>
    <s v="Small Box"/>
    <n v="0.57999999999999996"/>
    <d v="2011-02-15T00:00:00"/>
  </r>
  <r>
    <n v="1002"/>
    <n v="7297"/>
    <x v="317"/>
    <x v="2"/>
    <n v="26"/>
    <x v="360"/>
    <n v="0.03"/>
    <s v="Regular Air"/>
    <n v="-0.74"/>
    <n v="33.979999999999997"/>
    <n v="19.989999999999998"/>
    <x v="360"/>
    <s v="Ontario"/>
    <x v="2"/>
    <x v="0"/>
    <x v="1"/>
    <s v="Office Furnishings"/>
    <x v="360"/>
    <s v="Small Box"/>
    <n v="0.55000000000000004"/>
    <d v="2009-09-15T00:00:00"/>
  </r>
  <r>
    <n v="1008"/>
    <n v="7364"/>
    <x v="318"/>
    <x v="2"/>
    <n v="15"/>
    <x v="361"/>
    <n v="0.09"/>
    <s v="Regular Air"/>
    <n v="-48.57"/>
    <n v="16.98"/>
    <n v="12.39"/>
    <x v="361"/>
    <s v="Manitoba"/>
    <x v="3"/>
    <x v="1"/>
    <x v="0"/>
    <s v="Envelopes"/>
    <x v="361"/>
    <s v="Small Box"/>
    <n v="0.35"/>
    <d v="2009-05-10T00:00:00"/>
  </r>
  <r>
    <n v="1019"/>
    <n v="7457"/>
    <x v="319"/>
    <x v="1"/>
    <n v="36"/>
    <x v="362"/>
    <n v="0.02"/>
    <s v="Regular Air"/>
    <n v="624.64"/>
    <n v="60.98"/>
    <n v="19.989999999999998"/>
    <x v="362"/>
    <s v="Manitoba"/>
    <x v="3"/>
    <x v="0"/>
    <x v="0"/>
    <s v="Envelopes"/>
    <x v="362"/>
    <s v="Small Box"/>
    <n v="0.38"/>
    <d v="2010-10-03T00:00:00"/>
  </r>
  <r>
    <n v="1024"/>
    <n v="7461"/>
    <x v="320"/>
    <x v="0"/>
    <n v="12"/>
    <x v="363"/>
    <n v="0.05"/>
    <s v="Delivery Truck"/>
    <n v="593.79"/>
    <n v="350.99"/>
    <n v="39"/>
    <x v="363"/>
    <s v="British Columbia"/>
    <x v="1"/>
    <x v="2"/>
    <x v="1"/>
    <s v="Chairs &amp; Chairmats"/>
    <x v="363"/>
    <s v="Jumbo Drum"/>
    <n v="0.55000000000000004"/>
    <d v="2009-01-14T00:00:00"/>
  </r>
  <r>
    <n v="1029"/>
    <n v="7489"/>
    <x v="319"/>
    <x v="3"/>
    <n v="38"/>
    <x v="364"/>
    <n v="0.01"/>
    <s v="Delivery Truck"/>
    <n v="552.97"/>
    <n v="180.98"/>
    <n v="23.58"/>
    <x v="364"/>
    <s v="British Columbia"/>
    <x v="1"/>
    <x v="2"/>
    <x v="1"/>
    <s v="Bookcases"/>
    <x v="364"/>
    <s v="Jumbo Box"/>
    <n v="0.74"/>
    <d v="2010-10-03T00:00:00"/>
  </r>
  <r>
    <n v="1030"/>
    <n v="7521"/>
    <x v="321"/>
    <x v="0"/>
    <n v="19"/>
    <x v="365"/>
    <n v="0"/>
    <s v="Express Air"/>
    <n v="400.82"/>
    <n v="115.99"/>
    <n v="2.5"/>
    <x v="365"/>
    <s v="Ontario"/>
    <x v="2"/>
    <x v="0"/>
    <x v="2"/>
    <s v="Telephones and Communication"/>
    <x v="365"/>
    <s v="Small Box"/>
    <n v="0.55000000000000004"/>
    <d v="2011-03-05T00:00:00"/>
  </r>
  <r>
    <n v="1039"/>
    <n v="7585"/>
    <x v="50"/>
    <x v="2"/>
    <n v="34"/>
    <x v="366"/>
    <n v="0"/>
    <s v="Regular Air"/>
    <n v="22.57"/>
    <n v="20.99"/>
    <n v="1.25"/>
    <x v="366"/>
    <s v="Alberta"/>
    <x v="1"/>
    <x v="3"/>
    <x v="2"/>
    <s v="Telephones and Communication"/>
    <x v="366"/>
    <s v="Small Pack"/>
    <n v="0.83"/>
    <d v="2011-05-21T00:00:00"/>
  </r>
  <r>
    <n v="1044"/>
    <n v="7653"/>
    <x v="106"/>
    <x v="4"/>
    <n v="32"/>
    <x v="367"/>
    <n v="0.1"/>
    <s v="Regular Air"/>
    <n v="597.30999999999995"/>
    <n v="48.04"/>
    <n v="5.09"/>
    <x v="367"/>
    <s v="Manitoba"/>
    <x v="3"/>
    <x v="3"/>
    <x v="0"/>
    <s v="Paper"/>
    <x v="367"/>
    <s v="Small Box"/>
    <n v="0.37"/>
    <d v="2012-03-01T00:00:00"/>
  </r>
  <r>
    <n v="1045"/>
    <n v="7654"/>
    <x v="322"/>
    <x v="2"/>
    <n v="3"/>
    <x v="368"/>
    <n v="0.06"/>
    <s v="Regular Air"/>
    <n v="-14.29"/>
    <n v="4.13"/>
    <n v="6.89"/>
    <x v="368"/>
    <s v="Alberta"/>
    <x v="1"/>
    <x v="0"/>
    <x v="0"/>
    <s v="Labels"/>
    <x v="368"/>
    <s v="Small Box"/>
    <n v="0.39"/>
    <d v="2010-02-12T00:00:00"/>
  </r>
  <r>
    <n v="1050"/>
    <n v="7746"/>
    <x v="323"/>
    <x v="4"/>
    <n v="1"/>
    <x v="369"/>
    <n v="0.06"/>
    <s v="Regular Air"/>
    <n v="-27.07"/>
    <n v="19.98"/>
    <n v="8.68"/>
    <x v="369"/>
    <s v="Alberta"/>
    <x v="1"/>
    <x v="3"/>
    <x v="0"/>
    <s v="Paper"/>
    <x v="369"/>
    <s v="Small Box"/>
    <n v="0.37"/>
    <d v="2010-12-07T00:00:00"/>
  </r>
  <r>
    <n v="1052"/>
    <n v="7776"/>
    <x v="324"/>
    <x v="4"/>
    <n v="36"/>
    <x v="370"/>
    <n v="7.0000000000000007E-2"/>
    <s v="Delivery Truck"/>
    <n v="1769.81"/>
    <n v="200.98"/>
    <n v="23.76"/>
    <x v="370"/>
    <s v="Saskachewan"/>
    <x v="3"/>
    <x v="1"/>
    <x v="1"/>
    <s v="Chairs &amp; Chairmats"/>
    <x v="370"/>
    <s v="Jumbo Drum"/>
    <n v="0.57999999999999996"/>
    <d v="2009-03-15T00:00:00"/>
  </r>
  <r>
    <n v="1055"/>
    <n v="7783"/>
    <x v="325"/>
    <x v="4"/>
    <n v="3"/>
    <x v="371"/>
    <n v="0.03"/>
    <s v="Regular Air"/>
    <n v="-14.62"/>
    <n v="8.85"/>
    <n v="5.6"/>
    <x v="371"/>
    <s v="Manitoba"/>
    <x v="3"/>
    <x v="1"/>
    <x v="0"/>
    <s v="Binders and Binder Accessories"/>
    <x v="371"/>
    <s v="Small Box"/>
    <n v="0.36"/>
    <d v="2012-01-13T00:00:00"/>
  </r>
  <r>
    <n v="1060"/>
    <n v="7841"/>
    <x v="97"/>
    <x v="1"/>
    <n v="21"/>
    <x v="372"/>
    <n v="7.0000000000000007E-2"/>
    <s v="Regular Air"/>
    <n v="295.60000000000002"/>
    <n v="49.34"/>
    <n v="10.25"/>
    <x v="372"/>
    <s v="Ontario"/>
    <x v="2"/>
    <x v="3"/>
    <x v="1"/>
    <s v="Office Furnishings"/>
    <x v="372"/>
    <s v="Large Box"/>
    <n v="0.56999999999999995"/>
    <d v="2012-05-22T00:00:00"/>
  </r>
  <r>
    <n v="1071"/>
    <n v="7904"/>
    <x v="326"/>
    <x v="0"/>
    <n v="47"/>
    <x v="373"/>
    <n v="0.08"/>
    <s v="Express Air"/>
    <n v="146.72"/>
    <n v="6.3"/>
    <n v="0.5"/>
    <x v="373"/>
    <s v="Alberta"/>
    <x v="1"/>
    <x v="1"/>
    <x v="0"/>
    <s v="Labels"/>
    <x v="373"/>
    <s v="Small Box"/>
    <n v="0.39"/>
    <d v="2010-06-05T00:00:00"/>
  </r>
  <r>
    <n v="1072"/>
    <n v="7905"/>
    <x v="7"/>
    <x v="0"/>
    <n v="46"/>
    <x v="374"/>
    <n v="0.08"/>
    <s v="Delivery Truck"/>
    <n v="183.9"/>
    <n v="259.70999999999998"/>
    <n v="66.67"/>
    <x v="374"/>
    <s v="Manitoba"/>
    <x v="3"/>
    <x v="0"/>
    <x v="1"/>
    <s v="Tables"/>
    <x v="374"/>
    <s v="Jumbo Box"/>
    <n v="0.61"/>
    <d v="2009-06-07T00:00:00"/>
  </r>
  <r>
    <n v="1075"/>
    <n v="7910"/>
    <x v="327"/>
    <x v="3"/>
    <n v="41"/>
    <x v="375"/>
    <n v="0.01"/>
    <s v="Regular Air"/>
    <n v="346.43"/>
    <n v="45.98"/>
    <n v="4.8"/>
    <x v="375"/>
    <s v="Ontario"/>
    <x v="2"/>
    <x v="0"/>
    <x v="1"/>
    <s v="Office Furnishings"/>
    <x v="375"/>
    <s v="Wrap Bag"/>
    <n v="0.68"/>
    <d v="2010-04-23T00:00:00"/>
  </r>
  <r>
    <n v="1083"/>
    <n v="7968"/>
    <x v="201"/>
    <x v="0"/>
    <n v="10"/>
    <x v="376"/>
    <n v="0.06"/>
    <s v="Delivery Truck"/>
    <n v="-270"/>
    <n v="150.97999999999999"/>
    <n v="30"/>
    <x v="376"/>
    <s v="British Columbia"/>
    <x v="1"/>
    <x v="3"/>
    <x v="1"/>
    <s v="Chairs &amp; Chairmats"/>
    <x v="376"/>
    <s v="Jumbo Drum"/>
    <n v="0.74"/>
    <d v="2010-09-15T00:00:00"/>
  </r>
  <r>
    <n v="1090"/>
    <n v="8007"/>
    <x v="328"/>
    <x v="0"/>
    <n v="5"/>
    <x v="377"/>
    <n v="0.09"/>
    <s v="Regular Air"/>
    <n v="-800.25"/>
    <n v="205.99"/>
    <n v="8.99"/>
    <x v="377"/>
    <s v="Nova Scotia"/>
    <x v="6"/>
    <x v="1"/>
    <x v="2"/>
    <s v="Telephones and Communication"/>
    <x v="377"/>
    <s v="Small Box"/>
    <n v="0.6"/>
    <d v="2012-02-11T00:00:00"/>
  </r>
  <r>
    <n v="1092"/>
    <n v="8033"/>
    <x v="329"/>
    <x v="2"/>
    <n v="27"/>
    <x v="378"/>
    <n v="0.06"/>
    <s v="Regular Air"/>
    <n v="-133.62"/>
    <n v="4.0599999999999996"/>
    <n v="6.89"/>
    <x v="378"/>
    <s v="Ontario"/>
    <x v="2"/>
    <x v="0"/>
    <x v="0"/>
    <s v="Appliances"/>
    <x v="378"/>
    <s v="Small Box"/>
    <n v="0.6"/>
    <d v="2012-04-25T00:00:00"/>
  </r>
  <r>
    <n v="1093"/>
    <n v="8034"/>
    <x v="330"/>
    <x v="2"/>
    <n v="31"/>
    <x v="379"/>
    <n v="0.01"/>
    <s v="Regular Air"/>
    <n v="11.38"/>
    <n v="10.98"/>
    <n v="3.99"/>
    <x v="379"/>
    <s v="Saskachewan"/>
    <x v="3"/>
    <x v="1"/>
    <x v="0"/>
    <s v="Appliances"/>
    <x v="379"/>
    <s v="Small Box"/>
    <n v="0.57999999999999996"/>
    <d v="2012-01-19T00:00:00"/>
  </r>
  <r>
    <n v="1104"/>
    <n v="8103"/>
    <x v="331"/>
    <x v="0"/>
    <n v="16"/>
    <x v="380"/>
    <n v="7.0000000000000007E-2"/>
    <s v="Regular Air"/>
    <n v="107.38"/>
    <n v="29.17"/>
    <n v="6.27"/>
    <x v="380"/>
    <s v="Ontario"/>
    <x v="2"/>
    <x v="1"/>
    <x v="0"/>
    <s v="Binders and Binder Accessories"/>
    <x v="380"/>
    <s v="Small Box"/>
    <n v="0.37"/>
    <d v="2009-11-06T00:00:00"/>
  </r>
  <r>
    <n v="1107"/>
    <n v="8132"/>
    <x v="332"/>
    <x v="0"/>
    <n v="46"/>
    <x v="381"/>
    <n v="0.08"/>
    <s v="Express Air"/>
    <n v="-165.45"/>
    <n v="4.8899999999999997"/>
    <n v="4.93"/>
    <x v="381"/>
    <s v="Yukon"/>
    <x v="5"/>
    <x v="2"/>
    <x v="2"/>
    <s v="Computer Peripherals"/>
    <x v="381"/>
    <s v="Small Pack"/>
    <n v="0.66"/>
    <d v="2009-05-14T00:00:00"/>
  </r>
  <r>
    <n v="1123"/>
    <n v="8229"/>
    <x v="333"/>
    <x v="4"/>
    <n v="7"/>
    <x v="382"/>
    <n v="0.04"/>
    <s v="Delivery Truck"/>
    <n v="-502.81"/>
    <n v="510.14"/>
    <n v="14.7"/>
    <x v="382"/>
    <s v="British Columbia"/>
    <x v="1"/>
    <x v="2"/>
    <x v="2"/>
    <s v="Office Machines"/>
    <x v="382"/>
    <s v="Jumbo Drum"/>
    <n v="0.56000000000000005"/>
    <d v="2009-12-09T00:00:00"/>
  </r>
  <r>
    <n v="1132"/>
    <n v="8288"/>
    <x v="334"/>
    <x v="3"/>
    <n v="22"/>
    <x v="383"/>
    <n v="0.02"/>
    <s v="Regular Air"/>
    <n v="407.12"/>
    <n v="59.78"/>
    <n v="10.29"/>
    <x v="383"/>
    <s v="Manitoba"/>
    <x v="3"/>
    <x v="1"/>
    <x v="0"/>
    <s v="Binders and Binder Accessories"/>
    <x v="383"/>
    <s v="Small Box"/>
    <n v="0.39"/>
    <d v="2011-05-10T00:00:00"/>
  </r>
  <r>
    <n v="1136"/>
    <n v="8293"/>
    <x v="335"/>
    <x v="0"/>
    <n v="22"/>
    <x v="384"/>
    <n v="0.02"/>
    <s v="Regular Air"/>
    <n v="-31.52"/>
    <n v="3.14"/>
    <n v="1.92"/>
    <x v="384"/>
    <s v="Saskachewan"/>
    <x v="3"/>
    <x v="0"/>
    <x v="0"/>
    <s v="Scissors, Rulers and Trimmers"/>
    <x v="384"/>
    <s v="Wrap Bag"/>
    <n v="0.84"/>
    <d v="2012-08-14T00:00:00"/>
  </r>
  <r>
    <n v="1149"/>
    <n v="8387"/>
    <x v="336"/>
    <x v="1"/>
    <n v="35"/>
    <x v="385"/>
    <n v="0.02"/>
    <s v="Regular Air"/>
    <n v="185.09"/>
    <n v="31.74"/>
    <n v="12.62"/>
    <x v="385"/>
    <s v="Alberta"/>
    <x v="1"/>
    <x v="1"/>
    <x v="0"/>
    <s v="Binders and Binder Accessories"/>
    <x v="385"/>
    <s v="Small Box"/>
    <n v="0.37"/>
    <d v="2010-03-21T00:00:00"/>
  </r>
  <r>
    <n v="1158"/>
    <n v="8422"/>
    <x v="337"/>
    <x v="4"/>
    <n v="33"/>
    <x v="386"/>
    <n v="0.01"/>
    <s v="Express Air"/>
    <n v="-22.82"/>
    <n v="29.1"/>
    <n v="4"/>
    <x v="386"/>
    <s v="Quebec"/>
    <x v="4"/>
    <x v="2"/>
    <x v="2"/>
    <s v="Computer Peripherals"/>
    <x v="386"/>
    <s v="Small Box"/>
    <n v="0.78"/>
    <d v="2009-04-16T00:00:00"/>
  </r>
  <r>
    <n v="1160"/>
    <n v="8450"/>
    <x v="338"/>
    <x v="1"/>
    <n v="24"/>
    <x v="387"/>
    <n v="0.02"/>
    <s v="Regular Air"/>
    <n v="428.99"/>
    <n v="54.48"/>
    <n v="0.99"/>
    <x v="387"/>
    <s v="Saskachewan"/>
    <x v="3"/>
    <x v="2"/>
    <x v="0"/>
    <s v="Appliances"/>
    <x v="387"/>
    <s v="Small Box"/>
    <n v="0.56999999999999995"/>
    <d v="2012-04-15T00:00:00"/>
  </r>
  <r>
    <n v="1165"/>
    <n v="8513"/>
    <x v="2"/>
    <x v="0"/>
    <n v="9"/>
    <x v="388"/>
    <n v="0.05"/>
    <s v="Regular Air"/>
    <n v="-43.03"/>
    <n v="17.98"/>
    <n v="8.51"/>
    <x v="388"/>
    <s v="Ontario"/>
    <x v="2"/>
    <x v="0"/>
    <x v="2"/>
    <s v="Office Machines"/>
    <x v="388"/>
    <s v="Medium Box"/>
    <n v="0.4"/>
    <d v="2011-07-17T00:00:00"/>
  </r>
  <r>
    <n v="1173"/>
    <n v="8576"/>
    <x v="339"/>
    <x v="2"/>
    <n v="43"/>
    <x v="389"/>
    <n v="0"/>
    <s v="Express Air"/>
    <n v="-164.25"/>
    <n v="11.66"/>
    <n v="8.99"/>
    <x v="389"/>
    <s v="Yukon"/>
    <x v="5"/>
    <x v="1"/>
    <x v="0"/>
    <s v="Pens &amp; Art Supplies"/>
    <x v="389"/>
    <s v="Small Pack"/>
    <n v="0.59"/>
    <d v="2009-01-11T00:00:00"/>
  </r>
  <r>
    <n v="1175"/>
    <n v="8580"/>
    <x v="340"/>
    <x v="2"/>
    <n v="12"/>
    <x v="390"/>
    <n v="0"/>
    <s v="Regular Air"/>
    <n v="-3.95"/>
    <n v="11.58"/>
    <n v="6.97"/>
    <x v="390"/>
    <s v="Manitoba"/>
    <x v="3"/>
    <x v="3"/>
    <x v="0"/>
    <s v="Envelopes"/>
    <x v="390"/>
    <s v="Small Box"/>
    <n v="0.35"/>
    <d v="2011-03-22T00:00:00"/>
  </r>
  <r>
    <n v="1186"/>
    <n v="8677"/>
    <x v="47"/>
    <x v="2"/>
    <n v="38"/>
    <x v="391"/>
    <n v="0.1"/>
    <s v="Regular Air"/>
    <n v="-8.67"/>
    <n v="43.57"/>
    <n v="16.36"/>
    <x v="391"/>
    <s v="Quebec"/>
    <x v="4"/>
    <x v="1"/>
    <x v="0"/>
    <s v="Storage &amp; Organization"/>
    <x v="391"/>
    <s v="Small Box"/>
    <n v="0.55000000000000004"/>
    <d v="2012-10-09T00:00:00"/>
  </r>
  <r>
    <n v="1188"/>
    <n v="8679"/>
    <x v="341"/>
    <x v="4"/>
    <n v="46"/>
    <x v="392"/>
    <n v="0.01"/>
    <s v="Regular Air"/>
    <n v="161.32"/>
    <n v="9.11"/>
    <n v="2.15"/>
    <x v="392"/>
    <s v="Alberta"/>
    <x v="1"/>
    <x v="2"/>
    <x v="0"/>
    <s v="Paper"/>
    <x v="392"/>
    <s v="Wrap Bag"/>
    <n v="0.4"/>
    <d v="2012-05-07T00:00:00"/>
  </r>
  <r>
    <n v="1199"/>
    <n v="8802"/>
    <x v="342"/>
    <x v="4"/>
    <n v="15"/>
    <x v="393"/>
    <n v="7.0000000000000007E-2"/>
    <s v="Regular Air"/>
    <n v="400.69"/>
    <n v="123.38"/>
    <n v="24.49"/>
    <x v="393"/>
    <s v="Saskachewan"/>
    <x v="3"/>
    <x v="0"/>
    <x v="0"/>
    <s v="Appliances"/>
    <x v="393"/>
    <s v="Large Box"/>
    <n v="0.46"/>
    <d v="2011-02-02T00:00:00"/>
  </r>
  <r>
    <n v="1212"/>
    <n v="8901"/>
    <x v="343"/>
    <x v="0"/>
    <n v="15"/>
    <x v="394"/>
    <n v="0.09"/>
    <s v="Express Air"/>
    <n v="-16.190000000000001"/>
    <n v="9.99"/>
    <n v="6.24"/>
    <x v="394"/>
    <s v="Yukon"/>
    <x v="5"/>
    <x v="3"/>
    <x v="2"/>
    <s v="Office Machines"/>
    <x v="394"/>
    <s v="Medium Box"/>
    <n v="0.36"/>
    <d v="2011-08-27T00:00:00"/>
  </r>
  <r>
    <n v="1214"/>
    <n v="8930"/>
    <x v="344"/>
    <x v="4"/>
    <n v="14"/>
    <x v="395"/>
    <n v="0.04"/>
    <s v="Regular Air"/>
    <n v="-92.32"/>
    <n v="9.99"/>
    <n v="11.59"/>
    <x v="395"/>
    <s v="Yukon"/>
    <x v="5"/>
    <x v="1"/>
    <x v="0"/>
    <s v="Paper"/>
    <x v="395"/>
    <s v="Small Box"/>
    <n v="0.4"/>
    <d v="2009-05-21T00:00:00"/>
  </r>
  <r>
    <n v="1224"/>
    <n v="8993"/>
    <x v="243"/>
    <x v="4"/>
    <n v="41"/>
    <x v="396"/>
    <n v="0.02"/>
    <s v="Express Air"/>
    <n v="86.78"/>
    <n v="3.69"/>
    <n v="0.5"/>
    <x v="396"/>
    <s v="Manitoba"/>
    <x v="3"/>
    <x v="1"/>
    <x v="0"/>
    <s v="Labels"/>
    <x v="396"/>
    <s v="Small Box"/>
    <n v="0.38"/>
    <d v="2011-05-30T00:00:00"/>
  </r>
  <r>
    <n v="1225"/>
    <n v="8994"/>
    <x v="345"/>
    <x v="0"/>
    <n v="36"/>
    <x v="397"/>
    <n v="0.1"/>
    <s v="Regular Air"/>
    <n v="-580.32000000000005"/>
    <n v="40.479999999999997"/>
    <n v="19.989999999999998"/>
    <x v="397"/>
    <s v="Prince Edward Island"/>
    <x v="6"/>
    <x v="1"/>
    <x v="2"/>
    <s v="Computer Peripherals"/>
    <x v="397"/>
    <s v="Small Box"/>
    <n v="0.77"/>
    <d v="2009-04-09T00:00:00"/>
  </r>
  <r>
    <n v="1242"/>
    <n v="9028"/>
    <x v="346"/>
    <x v="0"/>
    <n v="48"/>
    <x v="398"/>
    <n v="0.04"/>
    <s v="Delivery Truck"/>
    <n v="3829.63"/>
    <n v="306.14"/>
    <n v="26.53"/>
    <x v="398"/>
    <s v="Ontario"/>
    <x v="2"/>
    <x v="0"/>
    <x v="2"/>
    <s v="Office Machines"/>
    <x v="398"/>
    <s v="Jumbo Drum"/>
    <n v="0.56000000000000005"/>
    <d v="2010-12-25T00:00:00"/>
  </r>
  <r>
    <n v="1246"/>
    <n v="9088"/>
    <x v="215"/>
    <x v="3"/>
    <n v="50"/>
    <x v="399"/>
    <n v="0.03"/>
    <s v="Regular Air"/>
    <n v="6523.26"/>
    <n v="304.99"/>
    <n v="19.989999999999998"/>
    <x v="399"/>
    <s v="Ontario"/>
    <x v="2"/>
    <x v="2"/>
    <x v="0"/>
    <s v="Binders and Binder Accessories"/>
    <x v="399"/>
    <s v="Small Box"/>
    <n v="0.4"/>
    <d v="2009-06-24T00:00:00"/>
  </r>
  <r>
    <n v="1251"/>
    <n v="9092"/>
    <x v="347"/>
    <x v="1"/>
    <n v="33"/>
    <x v="400"/>
    <n v="0"/>
    <s v="Express Air"/>
    <n v="-457.73"/>
    <n v="101.41"/>
    <n v="35"/>
    <x v="400"/>
    <s v="Yukon"/>
    <x v="5"/>
    <x v="1"/>
    <x v="0"/>
    <s v="Storage &amp; Organization"/>
    <x v="400"/>
    <s v="Large Box"/>
    <n v="0.82"/>
    <d v="2009-07-25T00:00:00"/>
  </r>
  <r>
    <n v="1259"/>
    <n v="9127"/>
    <x v="174"/>
    <x v="1"/>
    <n v="7"/>
    <x v="401"/>
    <n v="0.04"/>
    <s v="Express Air"/>
    <n v="-329.49"/>
    <n v="279.48"/>
    <n v="35"/>
    <x v="401"/>
    <s v="Northwest Territories"/>
    <x v="7"/>
    <x v="1"/>
    <x v="0"/>
    <s v="Storage &amp; Organization"/>
    <x v="401"/>
    <s v="Large Box"/>
    <n v="0.8"/>
    <d v="2011-10-12T00:00:00"/>
  </r>
  <r>
    <n v="1265"/>
    <n v="9219"/>
    <x v="25"/>
    <x v="0"/>
    <n v="24"/>
    <x v="402"/>
    <n v="0.04"/>
    <s v="Regular Air"/>
    <n v="-13.28"/>
    <n v="50.98"/>
    <n v="6.5"/>
    <x v="402"/>
    <s v="Alberta"/>
    <x v="1"/>
    <x v="3"/>
    <x v="2"/>
    <s v="Computer Peripherals"/>
    <x v="402"/>
    <s v="Small Box"/>
    <n v="0.73"/>
    <d v="2009-10-03T00:00:00"/>
  </r>
  <r>
    <n v="1267"/>
    <n v="9221"/>
    <x v="348"/>
    <x v="0"/>
    <n v="9"/>
    <x v="403"/>
    <n v="0.03"/>
    <s v="Regular Air"/>
    <n v="-377.74"/>
    <n v="3.25"/>
    <n v="49"/>
    <x v="403"/>
    <s v="Alberta"/>
    <x v="1"/>
    <x v="3"/>
    <x v="0"/>
    <s v="Appliances"/>
    <x v="403"/>
    <s v="Large Box"/>
    <n v="0.56000000000000005"/>
    <d v="2011-01-07T00:00:00"/>
  </r>
  <r>
    <n v="1271"/>
    <n v="9249"/>
    <x v="349"/>
    <x v="2"/>
    <n v="46"/>
    <x v="404"/>
    <n v="0.01"/>
    <s v="Regular Air"/>
    <n v="-119.35"/>
    <n v="3.57"/>
    <n v="4.17"/>
    <x v="404"/>
    <s v="Alberta"/>
    <x v="1"/>
    <x v="0"/>
    <x v="0"/>
    <s v="Pens &amp; Art Supplies"/>
    <x v="404"/>
    <s v="Small Pack"/>
    <n v="0.59"/>
    <d v="2010-05-20T00:00:00"/>
  </r>
  <r>
    <n v="1308"/>
    <n v="9602"/>
    <x v="350"/>
    <x v="3"/>
    <n v="27"/>
    <x v="405"/>
    <n v="0.01"/>
    <s v="Delivery Truck"/>
    <n v="600.92999999999995"/>
    <n v="90.97"/>
    <n v="28"/>
    <x v="405"/>
    <s v="Newfoundland"/>
    <x v="6"/>
    <x v="3"/>
    <x v="2"/>
    <s v="Office Machines"/>
    <x v="405"/>
    <s v="Jumbo Drum"/>
    <n v="0.38"/>
    <d v="2012-11-12T00:00:00"/>
  </r>
  <r>
    <n v="1313"/>
    <n v="9632"/>
    <x v="351"/>
    <x v="0"/>
    <n v="33"/>
    <x v="406"/>
    <n v="0.09"/>
    <s v="Regular Air"/>
    <n v="1440.27"/>
    <n v="120.98"/>
    <n v="9.07"/>
    <x v="406"/>
    <s v="Alberta"/>
    <x v="1"/>
    <x v="2"/>
    <x v="0"/>
    <s v="Binders and Binder Accessories"/>
    <x v="406"/>
    <s v="Small Box"/>
    <n v="0.35"/>
    <d v="2012-01-20T00:00:00"/>
  </r>
  <r>
    <n v="1322"/>
    <n v="9665"/>
    <x v="352"/>
    <x v="0"/>
    <n v="50"/>
    <x v="407"/>
    <n v="0.02"/>
    <s v="Regular Air"/>
    <n v="921.41"/>
    <n v="46.89"/>
    <n v="5.0999999999999996"/>
    <x v="407"/>
    <s v="Ontario"/>
    <x v="2"/>
    <x v="2"/>
    <x v="0"/>
    <s v="Appliances"/>
    <x v="407"/>
    <s v="Medium Box"/>
    <n v="0.46"/>
    <d v="2009-04-23T00:00:00"/>
  </r>
  <r>
    <n v="1333"/>
    <n v="9733"/>
    <x v="303"/>
    <x v="1"/>
    <n v="39"/>
    <x v="408"/>
    <n v="0.1"/>
    <s v="Regular Air"/>
    <n v="-90.26"/>
    <n v="5.98"/>
    <n v="5.35"/>
    <x v="408"/>
    <s v="Quebec"/>
    <x v="4"/>
    <x v="2"/>
    <x v="0"/>
    <s v="Paper"/>
    <x v="408"/>
    <s v="Small Box"/>
    <n v="0.4"/>
    <d v="2009-03-17T00:00:00"/>
  </r>
  <r>
    <n v="1336"/>
    <n v="9762"/>
    <x v="353"/>
    <x v="2"/>
    <n v="12"/>
    <x v="409"/>
    <n v="0.05"/>
    <s v="Regular Air"/>
    <n v="-146.05000000000001"/>
    <n v="20.98"/>
    <n v="21.2"/>
    <x v="409"/>
    <s v="Alberta"/>
    <x v="1"/>
    <x v="2"/>
    <x v="1"/>
    <s v="Office Furnishings"/>
    <x v="409"/>
    <s v="Medium Box"/>
    <n v="0.78"/>
    <d v="2009-01-04T00:00:00"/>
  </r>
  <r>
    <n v="1369"/>
    <n v="9926"/>
    <x v="354"/>
    <x v="2"/>
    <n v="25"/>
    <x v="410"/>
    <n v="0"/>
    <s v="Regular Air"/>
    <n v="-56.97"/>
    <n v="5.77"/>
    <n v="5.92"/>
    <x v="410"/>
    <s v="Ontario"/>
    <x v="2"/>
    <x v="2"/>
    <x v="1"/>
    <s v="Office Furnishings"/>
    <x v="410"/>
    <s v="Medium Box"/>
    <n v="0.55000000000000004"/>
    <d v="2009-10-13T00:00:00"/>
  </r>
  <r>
    <n v="1380"/>
    <n v="10022"/>
    <x v="355"/>
    <x v="0"/>
    <n v="1"/>
    <x v="411"/>
    <n v="0.06"/>
    <s v="Regular Air"/>
    <n v="-3.88"/>
    <n v="10.14"/>
    <n v="2.27"/>
    <x v="411"/>
    <s v="Northwest Territories"/>
    <x v="7"/>
    <x v="0"/>
    <x v="0"/>
    <s v="Paper"/>
    <x v="411"/>
    <s v="Wrap Bag"/>
    <n v="0.36"/>
    <d v="2009-03-04T00:00:00"/>
  </r>
  <r>
    <n v="1391"/>
    <n v="10081"/>
    <x v="17"/>
    <x v="1"/>
    <n v="49"/>
    <x v="412"/>
    <n v="0.02"/>
    <s v="Regular Air"/>
    <n v="245"/>
    <n v="20.28"/>
    <n v="6.68"/>
    <x v="412"/>
    <s v="Manitoba"/>
    <x v="3"/>
    <x v="2"/>
    <x v="1"/>
    <s v="Office Furnishings"/>
    <x v="412"/>
    <s v="Small Box"/>
    <n v="0.53"/>
    <d v="2010-08-08T00:00:00"/>
  </r>
  <r>
    <n v="1422"/>
    <n v="10309"/>
    <x v="62"/>
    <x v="0"/>
    <n v="23"/>
    <x v="413"/>
    <n v="0.03"/>
    <s v="Regular Air"/>
    <n v="213.38"/>
    <n v="20.98"/>
    <n v="1.49"/>
    <x v="413"/>
    <s v="Saskachewan"/>
    <x v="3"/>
    <x v="0"/>
    <x v="0"/>
    <s v="Binders and Binder Accessories"/>
    <x v="413"/>
    <s v="Small Box"/>
    <n v="0.35"/>
    <d v="2009-11-21T00:00:00"/>
  </r>
  <r>
    <n v="1438"/>
    <n v="10371"/>
    <x v="356"/>
    <x v="2"/>
    <n v="10"/>
    <x v="414"/>
    <n v="0.08"/>
    <s v="Express Air"/>
    <n v="-37.6"/>
    <n v="15.73"/>
    <n v="7.42"/>
    <x v="414"/>
    <s v="Ontario"/>
    <x v="2"/>
    <x v="1"/>
    <x v="0"/>
    <s v="Scissors, Rulers and Trimmers"/>
    <x v="414"/>
    <s v="Small Pack"/>
    <n v="0.56000000000000005"/>
    <d v="2009-09-18T00:00:00"/>
  </r>
  <r>
    <n v="1442"/>
    <n v="10435"/>
    <x v="357"/>
    <x v="4"/>
    <n v="38"/>
    <x v="415"/>
    <n v="0.06"/>
    <s v="Regular Air"/>
    <n v="-14.31"/>
    <n v="22.99"/>
    <n v="8.99"/>
    <x v="415"/>
    <s v="Prince Edward Island"/>
    <x v="6"/>
    <x v="1"/>
    <x v="0"/>
    <s v="Pens &amp; Art Supplies"/>
    <x v="415"/>
    <s v="Small Pack"/>
    <n v="0.56999999999999995"/>
    <d v="2010-08-12T00:00:00"/>
  </r>
  <r>
    <n v="1452"/>
    <n v="10470"/>
    <x v="358"/>
    <x v="0"/>
    <n v="40"/>
    <x v="416"/>
    <n v="0.02"/>
    <s v="Express Air"/>
    <n v="490.77"/>
    <n v="44.01"/>
    <n v="3.5"/>
    <x v="416"/>
    <s v="Ontario"/>
    <x v="2"/>
    <x v="1"/>
    <x v="0"/>
    <s v="Appliances"/>
    <x v="416"/>
    <s v="Small Box"/>
    <n v="0.59"/>
    <d v="2012-05-06T00:00:00"/>
  </r>
  <r>
    <n v="1457"/>
    <n v="10499"/>
    <x v="359"/>
    <x v="1"/>
    <n v="29"/>
    <x v="417"/>
    <n v="0.01"/>
    <s v="Delivery Truck"/>
    <n v="31.21"/>
    <n v="262.11"/>
    <n v="62.74"/>
    <x v="417"/>
    <s v="Northwest Territories"/>
    <x v="7"/>
    <x v="1"/>
    <x v="1"/>
    <s v="Tables"/>
    <x v="417"/>
    <s v="Jumbo Box"/>
    <n v="0.75"/>
    <d v="2010-11-17T00:00:00"/>
  </r>
  <r>
    <n v="1460"/>
    <n v="10528"/>
    <x v="360"/>
    <x v="4"/>
    <n v="47"/>
    <x v="418"/>
    <n v="0.02"/>
    <s v="Express Air"/>
    <n v="-132.91"/>
    <n v="17.7"/>
    <n v="9.4700000000000006"/>
    <x v="418"/>
    <s v="Saskachewan"/>
    <x v="3"/>
    <x v="1"/>
    <x v="0"/>
    <s v="Storage &amp; Organization"/>
    <x v="418"/>
    <s v="Small Box"/>
    <n v="0.59"/>
    <d v="2009-09-15T00:00:00"/>
  </r>
  <r>
    <n v="1467"/>
    <n v="10567"/>
    <x v="361"/>
    <x v="2"/>
    <n v="10"/>
    <x v="419"/>
    <n v="0.09"/>
    <s v="Delivery Truck"/>
    <n v="-146.29"/>
    <n v="146.34"/>
    <n v="43.75"/>
    <x v="419"/>
    <s v="Saskachewan"/>
    <x v="3"/>
    <x v="2"/>
    <x v="1"/>
    <s v="Tables"/>
    <x v="419"/>
    <s v="Jumbo Box"/>
    <n v="0.65"/>
    <d v="2012-03-30T00:00:00"/>
  </r>
  <r>
    <n v="1470"/>
    <n v="10624"/>
    <x v="115"/>
    <x v="3"/>
    <n v="23"/>
    <x v="420"/>
    <n v="0.06"/>
    <s v="Regular Air"/>
    <n v="23.97"/>
    <n v="47.98"/>
    <n v="3.61"/>
    <x v="420"/>
    <s v="Ontario"/>
    <x v="2"/>
    <x v="1"/>
    <x v="2"/>
    <s v="Computer Peripherals"/>
    <x v="420"/>
    <s v="Small Pack"/>
    <n v="0.71"/>
    <d v="2009-12-22T00:00:00"/>
  </r>
  <r>
    <n v="1474"/>
    <n v="10630"/>
    <x v="104"/>
    <x v="4"/>
    <n v="44"/>
    <x v="421"/>
    <n v="0"/>
    <s v="Delivery Truck"/>
    <n v="-513.76"/>
    <n v="58.14"/>
    <n v="36.61"/>
    <x v="421"/>
    <s v="New Brunswick"/>
    <x v="6"/>
    <x v="1"/>
    <x v="1"/>
    <s v="Bookcases"/>
    <x v="421"/>
    <s v="Jumbo Box"/>
    <n v="0.61"/>
    <d v="2010-02-06T00:00:00"/>
  </r>
  <r>
    <n v="1477"/>
    <n v="10658"/>
    <x v="362"/>
    <x v="0"/>
    <n v="31"/>
    <x v="422"/>
    <n v="0.04"/>
    <s v="Regular Air"/>
    <n v="29.24"/>
    <n v="8.5"/>
    <n v="1.99"/>
    <x v="422"/>
    <s v="Yukon"/>
    <x v="5"/>
    <x v="3"/>
    <x v="2"/>
    <s v="Computer Peripherals"/>
    <x v="422"/>
    <s v="Small Pack"/>
    <n v="0.49"/>
    <d v="2009-08-31T00:00:00"/>
  </r>
  <r>
    <n v="1480"/>
    <n v="10659"/>
    <x v="332"/>
    <x v="3"/>
    <n v="40"/>
    <x v="423"/>
    <n v="0"/>
    <s v="Regular Air"/>
    <n v="-92.07"/>
    <n v="5.28"/>
    <n v="5.61"/>
    <x v="423"/>
    <s v="Manitoba"/>
    <x v="3"/>
    <x v="1"/>
    <x v="0"/>
    <s v="Paper"/>
    <x v="423"/>
    <s v="Small Box"/>
    <n v="0.4"/>
    <d v="2009-05-14T00:00:00"/>
  </r>
  <r>
    <n v="1481"/>
    <n v="10661"/>
    <x v="363"/>
    <x v="1"/>
    <n v="18"/>
    <x v="424"/>
    <n v="0"/>
    <s v="Regular Air"/>
    <n v="-99.34"/>
    <n v="6.84"/>
    <n v="8.3699999999999992"/>
    <x v="424"/>
    <s v="British Columbia"/>
    <x v="1"/>
    <x v="3"/>
    <x v="0"/>
    <s v="Scissors, Rulers and Trimmers"/>
    <x v="424"/>
    <s v="Small Pack"/>
    <n v="0.57999999999999996"/>
    <d v="2009-01-24T00:00:00"/>
  </r>
  <r>
    <n v="1483"/>
    <n v="10662"/>
    <x v="364"/>
    <x v="0"/>
    <n v="45"/>
    <x v="425"/>
    <n v="0.08"/>
    <s v="Regular Air"/>
    <n v="-141.26"/>
    <n v="6.48"/>
    <n v="6.81"/>
    <x v="425"/>
    <s v="Yukon"/>
    <x v="5"/>
    <x v="2"/>
    <x v="0"/>
    <s v="Paper"/>
    <x v="425"/>
    <s v="Small Box"/>
    <n v="0.36"/>
    <d v="2011-05-21T00:00:00"/>
  </r>
  <r>
    <n v="1489"/>
    <n v="10695"/>
    <x v="196"/>
    <x v="2"/>
    <n v="39"/>
    <x v="426"/>
    <n v="0.1"/>
    <s v="Regular Air"/>
    <n v="1421.89"/>
    <n v="205.99"/>
    <n v="2.5"/>
    <x v="426"/>
    <s v="Manitoba"/>
    <x v="3"/>
    <x v="1"/>
    <x v="2"/>
    <s v="Telephones and Communication"/>
    <x v="426"/>
    <s v="Small Box"/>
    <n v="0.59"/>
    <d v="2011-05-03T00:00:00"/>
  </r>
  <r>
    <n v="1492"/>
    <n v="10754"/>
    <x v="365"/>
    <x v="0"/>
    <n v="7"/>
    <x v="427"/>
    <n v="0.09"/>
    <s v="Regular Air"/>
    <n v="-23.28"/>
    <n v="6.48"/>
    <n v="5.94"/>
    <x v="427"/>
    <s v="Saskachewan"/>
    <x v="3"/>
    <x v="1"/>
    <x v="0"/>
    <s v="Paper"/>
    <x v="427"/>
    <s v="Small Box"/>
    <n v="0.37"/>
    <d v="2010-03-19T00:00:00"/>
  </r>
  <r>
    <n v="1495"/>
    <n v="10789"/>
    <x v="366"/>
    <x v="1"/>
    <n v="15"/>
    <x v="428"/>
    <n v="0"/>
    <s v="Express Air"/>
    <n v="76.42"/>
    <n v="19.84"/>
    <n v="4.0999999999999996"/>
    <x v="428"/>
    <s v="Northwest Territories"/>
    <x v="7"/>
    <x v="1"/>
    <x v="0"/>
    <s v="Pens &amp; Art Supplies"/>
    <x v="428"/>
    <s v="Wrap Bag"/>
    <n v="0.44"/>
    <d v="2010-08-24T00:00:00"/>
  </r>
  <r>
    <n v="1496"/>
    <n v="10791"/>
    <x v="128"/>
    <x v="1"/>
    <n v="20"/>
    <x v="429"/>
    <n v="0.05"/>
    <s v="Regular Air"/>
    <n v="93.36"/>
    <n v="19.98"/>
    <n v="5.77"/>
    <x v="429"/>
    <s v="Northwest Territories"/>
    <x v="7"/>
    <x v="0"/>
    <x v="0"/>
    <s v="Paper"/>
    <x v="429"/>
    <s v="Small Box"/>
    <n v="0.38"/>
    <d v="2011-08-21T00:00:00"/>
  </r>
  <r>
    <n v="1501"/>
    <n v="10851"/>
    <x v="287"/>
    <x v="2"/>
    <n v="50"/>
    <x v="430"/>
    <n v="0.09"/>
    <s v="Regular Air"/>
    <n v="-175.13"/>
    <n v="12.88"/>
    <n v="4.59"/>
    <x v="430"/>
    <s v="Prince Edward Island"/>
    <x v="6"/>
    <x v="3"/>
    <x v="0"/>
    <s v="Scissors, Rulers and Trimmers"/>
    <x v="430"/>
    <s v="Wrap Bag"/>
    <n v="0.82"/>
    <d v="2009-04-06T00:00:00"/>
  </r>
  <r>
    <n v="1511"/>
    <n v="10919"/>
    <x v="367"/>
    <x v="2"/>
    <n v="42"/>
    <x v="431"/>
    <n v="7.0000000000000007E-2"/>
    <s v="Regular Air"/>
    <n v="-1231.8699999999999"/>
    <n v="48.91"/>
    <n v="35"/>
    <x v="431"/>
    <s v="Quebec"/>
    <x v="4"/>
    <x v="1"/>
    <x v="0"/>
    <s v="Storage &amp; Organization"/>
    <x v="431"/>
    <s v="Large Box"/>
    <n v="0.83"/>
    <d v="2010-03-27T00:00:00"/>
  </r>
  <r>
    <n v="1532"/>
    <n v="11040"/>
    <x v="368"/>
    <x v="1"/>
    <n v="44"/>
    <x v="432"/>
    <n v="0.03"/>
    <s v="Regular Air"/>
    <n v="389.61"/>
    <n v="23.99"/>
    <n v="6.71"/>
    <x v="432"/>
    <s v="Ontario"/>
    <x v="2"/>
    <x v="1"/>
    <x v="0"/>
    <s v="Envelopes"/>
    <x v="432"/>
    <s v="Small Box"/>
    <n v="0.35"/>
    <d v="2011-10-23T00:00:00"/>
  </r>
  <r>
    <n v="1537"/>
    <n v="11074"/>
    <x v="369"/>
    <x v="2"/>
    <n v="21"/>
    <x v="433"/>
    <n v="7.0000000000000007E-2"/>
    <s v="Regular Air"/>
    <n v="-39.229999999999997"/>
    <n v="5.68"/>
    <n v="3.6"/>
    <x v="433"/>
    <s v="British Columbia"/>
    <x v="1"/>
    <x v="1"/>
    <x v="0"/>
    <s v="Scissors, Rulers and Trimmers"/>
    <x v="433"/>
    <s v="Small Pack"/>
    <n v="0.56000000000000005"/>
    <d v="2011-06-11T00:00:00"/>
  </r>
  <r>
    <n v="1549"/>
    <n v="11173"/>
    <x v="370"/>
    <x v="3"/>
    <n v="37"/>
    <x v="434"/>
    <n v="0.08"/>
    <s v="Regular Air"/>
    <n v="-95.17"/>
    <n v="5.98"/>
    <n v="3.85"/>
    <x v="434"/>
    <s v="Ontario"/>
    <x v="2"/>
    <x v="1"/>
    <x v="2"/>
    <s v="Computer Peripherals"/>
    <x v="434"/>
    <s v="Small Pack"/>
    <n v="0.68"/>
    <d v="2012-04-01T00:00:00"/>
  </r>
  <r>
    <n v="1554"/>
    <n v="11233"/>
    <x v="371"/>
    <x v="1"/>
    <n v="25"/>
    <x v="435"/>
    <n v="0.02"/>
    <s v="Regular Air"/>
    <n v="35.72"/>
    <n v="10.98"/>
    <n v="4.8"/>
    <x v="435"/>
    <s v="Ontario"/>
    <x v="2"/>
    <x v="1"/>
    <x v="0"/>
    <s v="Envelopes"/>
    <x v="435"/>
    <s v="Small Box"/>
    <n v="0.36"/>
    <d v="2011-09-01T00:00:00"/>
  </r>
  <r>
    <n v="1564"/>
    <n v="11271"/>
    <x v="372"/>
    <x v="2"/>
    <n v="46"/>
    <x v="436"/>
    <n v="0"/>
    <s v="Regular Air"/>
    <n v="-115.8"/>
    <n v="3.28"/>
    <n v="3.97"/>
    <x v="436"/>
    <s v="Nova Scotia"/>
    <x v="6"/>
    <x v="1"/>
    <x v="0"/>
    <s v="Pens &amp; Art Supplies"/>
    <x v="436"/>
    <s v="Wrap Bag"/>
    <n v="0.56000000000000005"/>
    <d v="2011-10-20T00:00:00"/>
  </r>
  <r>
    <n v="1566"/>
    <n v="11302"/>
    <x v="373"/>
    <x v="0"/>
    <n v="10"/>
    <x v="437"/>
    <n v="0.09"/>
    <s v="Delivery Truck"/>
    <n v="35.29"/>
    <n v="90.97"/>
    <n v="14"/>
    <x v="437"/>
    <s v="Ontario"/>
    <x v="2"/>
    <x v="2"/>
    <x v="2"/>
    <s v="Office Machines"/>
    <x v="437"/>
    <s v="Jumbo Drum"/>
    <n v="0.36"/>
    <d v="2009-03-03T00:00:00"/>
  </r>
  <r>
    <n v="1571"/>
    <n v="11362"/>
    <x v="374"/>
    <x v="0"/>
    <n v="32"/>
    <x v="438"/>
    <n v="0.09"/>
    <s v="Regular Air"/>
    <n v="569.57000000000005"/>
    <n v="110.98"/>
    <n v="13.99"/>
    <x v="438"/>
    <s v="Prince Edward Island"/>
    <x v="6"/>
    <x v="1"/>
    <x v="1"/>
    <s v="Office Furnishings"/>
    <x v="438"/>
    <s v="Medium Box"/>
    <n v="0.69"/>
    <d v="2012-09-12T00:00:00"/>
  </r>
  <r>
    <n v="1575"/>
    <n v="11392"/>
    <x v="375"/>
    <x v="0"/>
    <n v="28"/>
    <x v="439"/>
    <n v="0.04"/>
    <s v="Regular Air"/>
    <n v="28.29"/>
    <n v="4.55"/>
    <n v="1.49"/>
    <x v="439"/>
    <s v="British Columbia"/>
    <x v="1"/>
    <x v="1"/>
    <x v="0"/>
    <s v="Binders and Binder Accessories"/>
    <x v="439"/>
    <s v="Small Box"/>
    <n v="0.35"/>
    <d v="2009-09-07T00:00:00"/>
  </r>
  <r>
    <n v="1579"/>
    <n v="11425"/>
    <x v="376"/>
    <x v="3"/>
    <n v="29"/>
    <x v="440"/>
    <n v="0.1"/>
    <s v="Regular Air"/>
    <n v="-16.59"/>
    <n v="16.91"/>
    <n v="6.25"/>
    <x v="440"/>
    <s v="Ontario"/>
    <x v="2"/>
    <x v="3"/>
    <x v="0"/>
    <s v="Storage &amp; Organization"/>
    <x v="440"/>
    <s v="Small Box"/>
    <n v="0.57999999999999996"/>
    <d v="2011-06-23T00:00:00"/>
  </r>
  <r>
    <n v="1581"/>
    <n v="11426"/>
    <x v="129"/>
    <x v="4"/>
    <n v="19"/>
    <x v="441"/>
    <n v="0.01"/>
    <s v="Regular Air"/>
    <n v="81.96"/>
    <n v="16.48"/>
    <n v="1.99"/>
    <x v="441"/>
    <s v="Saskachewan"/>
    <x v="3"/>
    <x v="3"/>
    <x v="2"/>
    <s v="Computer Peripherals"/>
    <x v="441"/>
    <s v="Small Pack"/>
    <n v="0.42"/>
    <d v="2009-05-08T00:00:00"/>
  </r>
  <r>
    <n v="1600"/>
    <n v="11585"/>
    <x v="144"/>
    <x v="4"/>
    <n v="17"/>
    <x v="442"/>
    <n v="0.1"/>
    <s v="Regular Air"/>
    <n v="-99.55"/>
    <n v="17.98"/>
    <n v="4"/>
    <x v="442"/>
    <s v="Nova Scotia"/>
    <x v="6"/>
    <x v="3"/>
    <x v="2"/>
    <s v="Computer Peripherals"/>
    <x v="442"/>
    <s v="Small Box"/>
    <n v="0.79"/>
    <d v="2009-03-16T00:00:00"/>
  </r>
  <r>
    <n v="1606"/>
    <n v="11651"/>
    <x v="377"/>
    <x v="4"/>
    <n v="19"/>
    <x v="443"/>
    <n v="7.0000000000000007E-2"/>
    <s v="Express Air"/>
    <n v="3.9"/>
    <n v="3.28"/>
    <n v="0.98"/>
    <x v="443"/>
    <s v="Alberta"/>
    <x v="1"/>
    <x v="0"/>
    <x v="0"/>
    <s v="Pens &amp; Art Supplies"/>
    <x v="443"/>
    <s v="Wrap Bag"/>
    <n v="0.59"/>
    <d v="2011-02-24T00:00:00"/>
  </r>
  <r>
    <n v="1660"/>
    <n v="11969"/>
    <x v="330"/>
    <x v="1"/>
    <n v="16"/>
    <x v="444"/>
    <n v="0.08"/>
    <s v="Regular Air"/>
    <n v="-553.05999999999995"/>
    <n v="110.98"/>
    <n v="35"/>
    <x v="444"/>
    <s v="Nova Scotia"/>
    <x v="6"/>
    <x v="3"/>
    <x v="0"/>
    <s v="Storage &amp; Organization"/>
    <x v="444"/>
    <s v="Large Box"/>
    <n v="0.82"/>
    <d v="2012-01-20T00:00:00"/>
  </r>
  <r>
    <n v="1663"/>
    <n v="11972"/>
    <x v="353"/>
    <x v="1"/>
    <n v="4"/>
    <x v="445"/>
    <n v="0"/>
    <s v="Delivery Truck"/>
    <n v="-452.27"/>
    <n v="213.45"/>
    <n v="14.7"/>
    <x v="445"/>
    <s v="Alberta"/>
    <x v="1"/>
    <x v="1"/>
    <x v="2"/>
    <s v="Office Machines"/>
    <x v="445"/>
    <s v="Jumbo Drum"/>
    <n v="0.59"/>
    <d v="2009-01-05T00:00:00"/>
  </r>
  <r>
    <n v="1679"/>
    <n v="12099"/>
    <x v="378"/>
    <x v="3"/>
    <n v="1"/>
    <x v="446"/>
    <n v="0.06"/>
    <s v="Express Air"/>
    <n v="10.85"/>
    <n v="2.61"/>
    <n v="0.5"/>
    <x v="446"/>
    <s v="Yukon"/>
    <x v="5"/>
    <x v="1"/>
    <x v="0"/>
    <s v="Labels"/>
    <x v="446"/>
    <s v="Small Box"/>
    <n v="0.39"/>
    <d v="2009-09-11T00:00:00"/>
  </r>
  <r>
    <n v="1682"/>
    <n v="12130"/>
    <x v="379"/>
    <x v="1"/>
    <n v="37"/>
    <x v="447"/>
    <n v="0.04"/>
    <s v="Regular Air"/>
    <n v="290.2"/>
    <n v="18.84"/>
    <n v="3.62"/>
    <x v="447"/>
    <s v="Ontario"/>
    <x v="2"/>
    <x v="3"/>
    <x v="1"/>
    <s v="Office Furnishings"/>
    <x v="447"/>
    <s v="Wrap Bag"/>
    <n v="0.43"/>
    <d v="2011-12-12T00:00:00"/>
  </r>
  <r>
    <n v="1709"/>
    <n v="12263"/>
    <x v="380"/>
    <x v="2"/>
    <n v="12"/>
    <x v="448"/>
    <n v="0"/>
    <s v="Regular Air"/>
    <n v="123.5"/>
    <n v="39.479999999999997"/>
    <n v="3.99"/>
    <x v="448"/>
    <s v="Ontario"/>
    <x v="2"/>
    <x v="1"/>
    <x v="0"/>
    <s v="Appliances"/>
    <x v="448"/>
    <s v="Small Box"/>
    <n v="0.56000000000000005"/>
    <d v="2011-07-06T00:00:00"/>
  </r>
  <r>
    <n v="1717"/>
    <n v="12326"/>
    <x v="381"/>
    <x v="3"/>
    <n v="4"/>
    <x v="449"/>
    <n v="0.05"/>
    <s v="Regular Air"/>
    <n v="-0.37"/>
    <n v="29.34"/>
    <n v="57.87"/>
    <x v="449"/>
    <s v="Ontario"/>
    <x v="2"/>
    <x v="0"/>
    <x v="1"/>
    <s v="Office Furnishings"/>
    <x v="449"/>
    <s v="Small Box"/>
    <n v="0.54"/>
    <d v="2011-02-04T00:00:00"/>
  </r>
  <r>
    <n v="1725"/>
    <n v="12417"/>
    <x v="382"/>
    <x v="3"/>
    <n v="19"/>
    <x v="450"/>
    <n v="0.06"/>
    <s v="Regular Air"/>
    <n v="34.31"/>
    <n v="7.4"/>
    <n v="1.71"/>
    <x v="450"/>
    <s v="Alberta"/>
    <x v="1"/>
    <x v="1"/>
    <x v="0"/>
    <s v="Paper"/>
    <x v="450"/>
    <s v="Wrap Bag"/>
    <n v="0.4"/>
    <d v="2010-10-26T00:00:00"/>
  </r>
  <r>
    <n v="1752"/>
    <n v="12551"/>
    <x v="383"/>
    <x v="0"/>
    <n v="46"/>
    <x v="451"/>
    <n v="0.01"/>
    <s v="Regular Air"/>
    <n v="1665.23"/>
    <n v="125.99"/>
    <n v="5.26"/>
    <x v="451"/>
    <s v="Ontario"/>
    <x v="2"/>
    <x v="0"/>
    <x v="2"/>
    <s v="Telephones and Communication"/>
    <x v="451"/>
    <s v="Small Box"/>
    <n v="0.55000000000000004"/>
    <d v="2012-06-18T00:00:00"/>
  </r>
  <r>
    <n v="1783"/>
    <n v="12773"/>
    <x v="384"/>
    <x v="0"/>
    <n v="6"/>
    <x v="452"/>
    <n v="7.0000000000000007E-2"/>
    <s v="Regular Air"/>
    <n v="-4.6100000000000003"/>
    <n v="2.78"/>
    <n v="1.49"/>
    <x v="452"/>
    <s v="Prince Edward Island"/>
    <x v="6"/>
    <x v="1"/>
    <x v="0"/>
    <s v="Binders and Binder Accessories"/>
    <x v="452"/>
    <s v="Small Box"/>
    <n v="0.39"/>
    <d v="2011-01-13T00:00:00"/>
  </r>
  <r>
    <n v="1788"/>
    <n v="12804"/>
    <x v="385"/>
    <x v="4"/>
    <n v="21"/>
    <x v="453"/>
    <n v="0"/>
    <s v="Regular Air"/>
    <n v="28.47"/>
    <n v="3.08"/>
    <n v="0.5"/>
    <x v="453"/>
    <s v="Saskachewan"/>
    <x v="3"/>
    <x v="2"/>
    <x v="0"/>
    <s v="Labels"/>
    <x v="453"/>
    <s v="Small Box"/>
    <n v="0.37"/>
    <d v="2012-05-28T00:00:00"/>
  </r>
  <r>
    <n v="1803"/>
    <n v="12902"/>
    <x v="386"/>
    <x v="1"/>
    <n v="9"/>
    <x v="454"/>
    <n v="0"/>
    <s v="Regular Air"/>
    <n v="-58.81"/>
    <n v="30.98"/>
    <n v="6.5"/>
    <x v="454"/>
    <s v="British Columbia"/>
    <x v="1"/>
    <x v="2"/>
    <x v="2"/>
    <s v="Computer Peripherals"/>
    <x v="454"/>
    <s v="Small Box"/>
    <n v="0.64"/>
    <d v="2010-10-31T00:00:00"/>
  </r>
  <r>
    <n v="1823"/>
    <n v="13091"/>
    <x v="387"/>
    <x v="4"/>
    <n v="12"/>
    <x v="455"/>
    <n v="0.08"/>
    <s v="Regular Air"/>
    <n v="-44.66"/>
    <n v="6.48"/>
    <n v="7.03"/>
    <x v="455"/>
    <s v="Ontario"/>
    <x v="2"/>
    <x v="1"/>
    <x v="0"/>
    <s v="Paper"/>
    <x v="455"/>
    <s v="Small Box"/>
    <n v="0.37"/>
    <d v="2009-11-16T00:00:00"/>
  </r>
  <r>
    <n v="1835"/>
    <n v="13156"/>
    <x v="147"/>
    <x v="0"/>
    <n v="12"/>
    <x v="456"/>
    <n v="0.04"/>
    <s v="Regular Air"/>
    <n v="159.72999999999999"/>
    <n v="39.979999999999997"/>
    <n v="9.1999999999999993"/>
    <x v="456"/>
    <s v="Quebec"/>
    <x v="4"/>
    <x v="1"/>
    <x v="1"/>
    <s v="Office Furnishings"/>
    <x v="456"/>
    <s v="Wrap Bag"/>
    <n v="0.65"/>
    <d v="2011-10-10T00:00:00"/>
  </r>
  <r>
    <n v="1866"/>
    <n v="13413"/>
    <x v="388"/>
    <x v="3"/>
    <n v="29"/>
    <x v="457"/>
    <n v="0.04"/>
    <s v="Regular Air"/>
    <n v="-50.86"/>
    <n v="4.9800000000000004"/>
    <n v="4.7"/>
    <x v="457"/>
    <s v="Ontario"/>
    <x v="2"/>
    <x v="3"/>
    <x v="0"/>
    <s v="Paper"/>
    <x v="457"/>
    <s v="Small Box"/>
    <n v="0.38"/>
    <d v="2010-01-31T00:00:00"/>
  </r>
  <r>
    <n v="1867"/>
    <n v="13440"/>
    <x v="0"/>
    <x v="1"/>
    <n v="22"/>
    <x v="458"/>
    <n v="7.0000000000000007E-2"/>
    <s v="Regular Air"/>
    <n v="326.39"/>
    <n v="43.98"/>
    <n v="1.99"/>
    <x v="458"/>
    <s v="Ontario"/>
    <x v="2"/>
    <x v="3"/>
    <x v="2"/>
    <s v="Computer Peripherals"/>
    <x v="458"/>
    <s v="Small Pack"/>
    <n v="0.44"/>
    <d v="2010-10-15T00:00:00"/>
  </r>
  <r>
    <n v="1869"/>
    <n v="13447"/>
    <x v="159"/>
    <x v="2"/>
    <n v="24"/>
    <x v="459"/>
    <n v="0.01"/>
    <s v="Regular Air"/>
    <n v="0.85"/>
    <n v="20.99"/>
    <n v="4.8099999999999996"/>
    <x v="459"/>
    <s v="Ontario"/>
    <x v="2"/>
    <x v="1"/>
    <x v="2"/>
    <s v="Telephones and Communication"/>
    <x v="459"/>
    <s v="Medium Box"/>
    <n v="0.57999999999999996"/>
    <d v="2010-01-10T00:00:00"/>
  </r>
  <r>
    <n v="1884"/>
    <n v="13542"/>
    <x v="389"/>
    <x v="0"/>
    <n v="11"/>
    <x v="460"/>
    <n v="0.01"/>
    <s v="Delivery Truck"/>
    <n v="403.81"/>
    <n v="300.98"/>
    <n v="64.73"/>
    <x v="460"/>
    <s v="Saskachewan"/>
    <x v="3"/>
    <x v="3"/>
    <x v="1"/>
    <s v="Chairs &amp; Chairmats"/>
    <x v="460"/>
    <s v="Jumbo Drum"/>
    <n v="0.56000000000000005"/>
    <d v="2009-03-15T00:00:00"/>
  </r>
  <r>
    <n v="1918"/>
    <n v="13761"/>
    <x v="390"/>
    <x v="0"/>
    <n v="32"/>
    <x v="461"/>
    <n v="0.09"/>
    <s v="Regular Air"/>
    <n v="-949.09"/>
    <n v="78.8"/>
    <n v="35"/>
    <x v="461"/>
    <s v="Ontario"/>
    <x v="2"/>
    <x v="2"/>
    <x v="0"/>
    <s v="Storage &amp; Organization"/>
    <x v="461"/>
    <s v="Large Box"/>
    <n v="0.83"/>
    <d v="2009-10-21T00:00:00"/>
  </r>
  <r>
    <n v="1935"/>
    <n v="13861"/>
    <x v="391"/>
    <x v="2"/>
    <n v="7"/>
    <x v="462"/>
    <n v="0"/>
    <s v="Regular Air"/>
    <n v="5.03"/>
    <n v="4.84"/>
    <n v="0.71"/>
    <x v="462"/>
    <s v="Ontario"/>
    <x v="2"/>
    <x v="1"/>
    <x v="0"/>
    <s v="Pens &amp; Art Supplies"/>
    <x v="462"/>
    <s v="Wrap Bag"/>
    <n v="0.52"/>
    <d v="2010-08-11T00:00:00"/>
  </r>
  <r>
    <n v="1936"/>
    <n v="13889"/>
    <x v="392"/>
    <x v="4"/>
    <n v="49"/>
    <x v="463"/>
    <n v="0.03"/>
    <s v="Delivery Truck"/>
    <n v="2820.44"/>
    <n v="258.98"/>
    <n v="54.31"/>
    <x v="463"/>
    <s v="British Columbia"/>
    <x v="1"/>
    <x v="0"/>
    <x v="1"/>
    <s v="Chairs &amp; Chairmats"/>
    <x v="463"/>
    <s v="Jumbo Drum"/>
    <n v="0.55000000000000004"/>
    <d v="2011-09-05T00:00:00"/>
  </r>
  <r>
    <n v="1937"/>
    <n v="13892"/>
    <x v="393"/>
    <x v="2"/>
    <n v="47"/>
    <x v="464"/>
    <n v="0"/>
    <s v="Regular Air"/>
    <n v="531.47"/>
    <n v="29.89"/>
    <n v="1.99"/>
    <x v="464"/>
    <s v="Ontario"/>
    <x v="2"/>
    <x v="2"/>
    <x v="2"/>
    <s v="Computer Peripherals"/>
    <x v="464"/>
    <s v="Small Pack"/>
    <n v="0.5"/>
    <d v="2012-04-28T00:00:00"/>
  </r>
  <r>
    <n v="1941"/>
    <n v="13920"/>
    <x v="190"/>
    <x v="3"/>
    <n v="25"/>
    <x v="465"/>
    <n v="0.1"/>
    <s v="Express Air"/>
    <n v="338.01"/>
    <n v="37.94"/>
    <n v="5.08"/>
    <x v="465"/>
    <s v="New Brunswick"/>
    <x v="6"/>
    <x v="2"/>
    <x v="0"/>
    <s v="Paper"/>
    <x v="465"/>
    <s v="Wrap Bag"/>
    <n v="0.38"/>
    <d v="2009-10-11T00:00:00"/>
  </r>
  <r>
    <n v="1947"/>
    <n v="13927"/>
    <x v="394"/>
    <x v="0"/>
    <n v="26"/>
    <x v="466"/>
    <n v="0.04"/>
    <s v="Express Air"/>
    <n v="-21.41"/>
    <n v="6.48"/>
    <n v="5.16"/>
    <x v="466"/>
    <s v="Prince Edward Island"/>
    <x v="6"/>
    <x v="1"/>
    <x v="0"/>
    <s v="Paper"/>
    <x v="466"/>
    <s v="Small Box"/>
    <n v="0.37"/>
    <d v="2009-09-02T00:00:00"/>
  </r>
  <r>
    <n v="1949"/>
    <n v="13958"/>
    <x v="395"/>
    <x v="0"/>
    <n v="11"/>
    <x v="467"/>
    <n v="0.06"/>
    <s v="Regular Air"/>
    <n v="-10.67"/>
    <n v="85.99"/>
    <n v="0.99"/>
    <x v="467"/>
    <s v="Yukon"/>
    <x v="5"/>
    <x v="3"/>
    <x v="2"/>
    <s v="Telephones and Communication"/>
    <x v="467"/>
    <s v="Wrap Bag"/>
    <n v="0.55000000000000004"/>
    <d v="2010-02-01T00:00:00"/>
  </r>
  <r>
    <n v="1954"/>
    <n v="13988"/>
    <x v="160"/>
    <x v="1"/>
    <n v="34"/>
    <x v="468"/>
    <n v="0.01"/>
    <s v="Regular Air"/>
    <n v="-59.71"/>
    <n v="4.95"/>
    <n v="5.32"/>
    <x v="468"/>
    <s v="Saskachewan"/>
    <x v="3"/>
    <x v="2"/>
    <x v="1"/>
    <s v="Office Furnishings"/>
    <x v="468"/>
    <s v="Small Box"/>
    <n v="0.41"/>
    <d v="2012-08-02T00:00:00"/>
  </r>
  <r>
    <n v="1984"/>
    <n v="14147"/>
    <x v="396"/>
    <x v="1"/>
    <n v="8"/>
    <x v="469"/>
    <n v="0.03"/>
    <s v="Regular Air"/>
    <n v="107.32"/>
    <n v="41.94"/>
    <n v="2.99"/>
    <x v="469"/>
    <s v="Ontario"/>
    <x v="2"/>
    <x v="2"/>
    <x v="0"/>
    <s v="Binders and Binder Accessories"/>
    <x v="469"/>
    <s v="Small Box"/>
    <n v="0.35"/>
    <d v="2010-03-10T00:00:00"/>
  </r>
  <r>
    <n v="1988"/>
    <n v="14182"/>
    <x v="215"/>
    <x v="0"/>
    <n v="23"/>
    <x v="470"/>
    <n v="0.05"/>
    <s v="Regular Air"/>
    <n v="355.93"/>
    <n v="125.99"/>
    <n v="8.08"/>
    <x v="470"/>
    <s v="Nova Scotia"/>
    <x v="6"/>
    <x v="0"/>
    <x v="2"/>
    <s v="Telephones and Communication"/>
    <x v="470"/>
    <s v="Small Box"/>
    <n v="0.56999999999999995"/>
    <d v="2009-06-27T00:00:00"/>
  </r>
  <r>
    <n v="1998"/>
    <n v="14245"/>
    <x v="397"/>
    <x v="3"/>
    <n v="17"/>
    <x v="471"/>
    <n v="0.1"/>
    <s v="Regular Air"/>
    <n v="29.7"/>
    <n v="28.15"/>
    <n v="6.17"/>
    <x v="471"/>
    <s v="Saskachewan"/>
    <x v="3"/>
    <x v="0"/>
    <x v="0"/>
    <s v="Pens &amp; Art Supplies"/>
    <x v="471"/>
    <s v="Small Pack"/>
    <n v="0.55000000000000004"/>
    <d v="2010-02-12T00:00:00"/>
  </r>
  <r>
    <n v="2009"/>
    <n v="14338"/>
    <x v="398"/>
    <x v="0"/>
    <n v="34"/>
    <x v="472"/>
    <n v="0.1"/>
    <s v="Delivery Truck"/>
    <n v="2786.35"/>
    <n v="200.97"/>
    <n v="15.59"/>
    <x v="472"/>
    <s v="Nova Scotia"/>
    <x v="6"/>
    <x v="0"/>
    <x v="2"/>
    <s v="Office Machines"/>
    <x v="472"/>
    <s v="Jumbo Drum"/>
    <n v="0.36"/>
    <d v="2010-02-07T00:00:00"/>
  </r>
  <r>
    <n v="2014"/>
    <n v="14375"/>
    <x v="398"/>
    <x v="4"/>
    <n v="7"/>
    <x v="473"/>
    <n v="7.0000000000000007E-2"/>
    <s v="Regular Air"/>
    <n v="-21.77"/>
    <n v="5.78"/>
    <n v="5.67"/>
    <x v="473"/>
    <s v="British Columbia"/>
    <x v="1"/>
    <x v="1"/>
    <x v="0"/>
    <s v="Paper"/>
    <x v="473"/>
    <s v="Small Box"/>
    <n v="0.36"/>
    <d v="2010-02-01T00:00:00"/>
  </r>
  <r>
    <n v="2024"/>
    <n v="14434"/>
    <x v="277"/>
    <x v="1"/>
    <n v="39"/>
    <x v="474"/>
    <n v="0.02"/>
    <s v="Delivery Truck"/>
    <n v="239.41"/>
    <n v="119.99"/>
    <n v="56.14"/>
    <x v="474"/>
    <s v="Yukon"/>
    <x v="5"/>
    <x v="1"/>
    <x v="2"/>
    <s v="Office Machines"/>
    <x v="474"/>
    <s v="Jumbo Box"/>
    <n v="0.39"/>
    <d v="2011-02-17T00:00:00"/>
  </r>
  <r>
    <n v="2039"/>
    <n v="14530"/>
    <x v="287"/>
    <x v="2"/>
    <n v="17"/>
    <x v="475"/>
    <n v="0.06"/>
    <s v="Regular Air"/>
    <n v="-485.55"/>
    <n v="89.83"/>
    <n v="35"/>
    <x v="475"/>
    <s v="Saskachewan"/>
    <x v="3"/>
    <x v="2"/>
    <x v="0"/>
    <s v="Storage &amp; Organization"/>
    <x v="475"/>
    <s v="Large Box"/>
    <n v="0.83"/>
    <d v="2009-04-08T00:00:00"/>
  </r>
  <r>
    <n v="2075"/>
    <n v="14851"/>
    <x v="399"/>
    <x v="1"/>
    <n v="6"/>
    <x v="476"/>
    <n v="0.08"/>
    <s v="Regular Air"/>
    <n v="-1352.68"/>
    <n v="599.99"/>
    <n v="24.49"/>
    <x v="476"/>
    <s v="Yukon"/>
    <x v="5"/>
    <x v="1"/>
    <x v="2"/>
    <s v="Copiers and Fax"/>
    <x v="476"/>
    <s v="Large Box"/>
    <n v="0.44"/>
    <d v="2012-05-12T00:00:00"/>
  </r>
  <r>
    <n v="2082"/>
    <n v="14883"/>
    <x v="133"/>
    <x v="0"/>
    <n v="38"/>
    <x v="477"/>
    <n v="7.0000000000000007E-2"/>
    <s v="Delivery Truck"/>
    <n v="-211.58"/>
    <n v="25.98"/>
    <n v="14.36"/>
    <x v="477"/>
    <s v="Alberta"/>
    <x v="1"/>
    <x v="1"/>
    <x v="1"/>
    <s v="Chairs &amp; Chairmats"/>
    <x v="477"/>
    <s v="Jumbo Drum"/>
    <n v="0.6"/>
    <d v="2011-05-11T00:00:00"/>
  </r>
  <r>
    <n v="2099"/>
    <n v="15009"/>
    <x v="400"/>
    <x v="1"/>
    <n v="46"/>
    <x v="478"/>
    <n v="0.09"/>
    <s v="Express Air"/>
    <n v="-7.8"/>
    <n v="28.15"/>
    <n v="8.99"/>
    <x v="478"/>
    <s v="Quebec"/>
    <x v="4"/>
    <x v="0"/>
    <x v="0"/>
    <s v="Pens &amp; Art Supplies"/>
    <x v="478"/>
    <s v="Small Pack"/>
    <n v="0.56999999999999995"/>
    <d v="2011-12-23T00:00:00"/>
  </r>
  <r>
    <n v="2132"/>
    <n v="15234"/>
    <x v="156"/>
    <x v="1"/>
    <n v="21"/>
    <x v="479"/>
    <n v="0.1"/>
    <s v="Regular Air"/>
    <n v="268.01"/>
    <n v="125.99"/>
    <n v="8.99"/>
    <x v="479"/>
    <s v="Manitoba"/>
    <x v="3"/>
    <x v="3"/>
    <x v="2"/>
    <s v="Telephones and Communication"/>
    <x v="479"/>
    <s v="Small Box"/>
    <n v="0.55000000000000004"/>
    <d v="2010-03-13T00:00:00"/>
  </r>
  <r>
    <n v="2173"/>
    <n v="15651"/>
    <x v="401"/>
    <x v="3"/>
    <n v="40"/>
    <x v="480"/>
    <n v="0.1"/>
    <s v="Express Air"/>
    <n v="549.45000000000005"/>
    <n v="60.22"/>
    <n v="3.5"/>
    <x v="480"/>
    <s v="New Brunswick"/>
    <x v="6"/>
    <x v="0"/>
    <x v="0"/>
    <s v="Appliances"/>
    <x v="480"/>
    <s v="Small Box"/>
    <n v="0.56999999999999995"/>
    <d v="2012-10-07T00:00:00"/>
  </r>
  <r>
    <n v="2176"/>
    <n v="15654"/>
    <x v="402"/>
    <x v="1"/>
    <n v="27"/>
    <x v="481"/>
    <n v="0.03"/>
    <s v="Delivery Truck"/>
    <n v="1383.24"/>
    <n v="300.98"/>
    <n v="54.92"/>
    <x v="481"/>
    <s v="Yukon"/>
    <x v="5"/>
    <x v="1"/>
    <x v="1"/>
    <s v="Bookcases"/>
    <x v="481"/>
    <s v="Jumbo Box"/>
    <n v="0.55000000000000004"/>
    <d v="2009-10-04T00:00:00"/>
  </r>
  <r>
    <n v="2191"/>
    <n v="15781"/>
    <x v="252"/>
    <x v="2"/>
    <n v="29"/>
    <x v="482"/>
    <n v="0.01"/>
    <s v="Regular Air"/>
    <n v="0.9"/>
    <n v="27.48"/>
    <n v="4"/>
    <x v="482"/>
    <s v="Newfoundland"/>
    <x v="6"/>
    <x v="2"/>
    <x v="2"/>
    <s v="Computer Peripherals"/>
    <x v="482"/>
    <s v="Small Box"/>
    <n v="0.75"/>
    <d v="2012-09-04T00:00:00"/>
  </r>
  <r>
    <n v="2212"/>
    <n v="15971"/>
    <x v="403"/>
    <x v="2"/>
    <n v="15"/>
    <x v="483"/>
    <n v="0.06"/>
    <s v="Regular Air"/>
    <n v="32.75"/>
    <n v="175.99"/>
    <n v="8.99"/>
    <x v="483"/>
    <s v="Nova Scotia"/>
    <x v="6"/>
    <x v="3"/>
    <x v="2"/>
    <s v="Telephones and Communication"/>
    <x v="483"/>
    <s v="Small Box"/>
    <n v="0.56999999999999995"/>
    <d v="2009-08-15T00:00:00"/>
  </r>
  <r>
    <n v="2213"/>
    <n v="15972"/>
    <x v="117"/>
    <x v="1"/>
    <n v="3"/>
    <x v="484"/>
    <n v="0.04"/>
    <s v="Regular Air"/>
    <n v="-3.86"/>
    <n v="2.98"/>
    <n v="1.58"/>
    <x v="484"/>
    <s v="Ontario"/>
    <x v="2"/>
    <x v="0"/>
    <x v="0"/>
    <s v="Rubber Bands"/>
    <x v="484"/>
    <s v="Wrap Bag"/>
    <n v="0.39"/>
    <d v="2011-08-09T00:00:00"/>
  </r>
  <r>
    <n v="2225"/>
    <n v="16098"/>
    <x v="404"/>
    <x v="0"/>
    <n v="31"/>
    <x v="485"/>
    <n v="0.06"/>
    <s v="Regular Air"/>
    <n v="50.59"/>
    <n v="14.98"/>
    <n v="8.99"/>
    <x v="485"/>
    <s v="Ontario"/>
    <x v="2"/>
    <x v="2"/>
    <x v="1"/>
    <s v="Office Furnishings"/>
    <x v="485"/>
    <s v="Small Pack"/>
    <n v="0.39"/>
    <d v="2012-07-25T00:00:00"/>
  </r>
  <r>
    <n v="2227"/>
    <n v="16100"/>
    <x v="405"/>
    <x v="4"/>
    <n v="44"/>
    <x v="486"/>
    <n v="0.01"/>
    <s v="Regular Air"/>
    <n v="-115.54"/>
    <n v="4.82"/>
    <n v="5.72"/>
    <x v="486"/>
    <s v="Prince Edward Island"/>
    <x v="6"/>
    <x v="1"/>
    <x v="1"/>
    <s v="Office Furnishings"/>
    <x v="486"/>
    <s v="Small Pack"/>
    <n v="0.47"/>
    <d v="2011-03-08T00:00:00"/>
  </r>
  <r>
    <n v="2249"/>
    <n v="16196"/>
    <x v="406"/>
    <x v="2"/>
    <n v="44"/>
    <x v="487"/>
    <n v="0.03"/>
    <s v="Regular Air"/>
    <n v="5034.1499999999996"/>
    <n v="320.98"/>
    <n v="24.49"/>
    <x v="487"/>
    <s v="Ontario"/>
    <x v="2"/>
    <x v="2"/>
    <x v="1"/>
    <s v="Chairs &amp; Chairmats"/>
    <x v="487"/>
    <s v="Large Box"/>
    <n v="0.55000000000000004"/>
    <d v="2009-10-22T00:00:00"/>
  </r>
  <r>
    <n v="2261"/>
    <n v="16257"/>
    <x v="407"/>
    <x v="1"/>
    <n v="16"/>
    <x v="488"/>
    <n v="0.03"/>
    <s v="Regular Air"/>
    <n v="16.329999999999998"/>
    <n v="5.98"/>
    <n v="2.5"/>
    <x v="488"/>
    <s v="British Columbia"/>
    <x v="1"/>
    <x v="2"/>
    <x v="0"/>
    <s v="Envelopes"/>
    <x v="488"/>
    <s v="Small Box"/>
    <n v="0.36"/>
    <d v="2012-05-06T00:00:00"/>
  </r>
  <r>
    <n v="2264"/>
    <n v="16260"/>
    <x v="408"/>
    <x v="2"/>
    <n v="47"/>
    <x v="489"/>
    <n v="0.01"/>
    <s v="Delivery Truck"/>
    <n v="-969.05"/>
    <n v="400.98"/>
    <n v="42.52"/>
    <x v="489"/>
    <s v="Ontario"/>
    <x v="2"/>
    <x v="1"/>
    <x v="1"/>
    <s v="Tables"/>
    <x v="489"/>
    <s v="Jumbo Box"/>
    <n v="0.71"/>
    <d v="2011-11-14T00:00:00"/>
  </r>
  <r>
    <n v="2279"/>
    <n v="16422"/>
    <x v="409"/>
    <x v="3"/>
    <n v="40"/>
    <x v="490"/>
    <n v="0.01"/>
    <s v="Regular Air"/>
    <n v="-42.45"/>
    <n v="6.48"/>
    <n v="5.14"/>
    <x v="490"/>
    <s v="Saskachewan"/>
    <x v="3"/>
    <x v="0"/>
    <x v="0"/>
    <s v="Paper"/>
    <x v="490"/>
    <s v="Small Box"/>
    <n v="0.37"/>
    <d v="2011-10-10T00:00:00"/>
  </r>
  <r>
    <n v="2321"/>
    <n v="16711"/>
    <x v="102"/>
    <x v="1"/>
    <n v="3"/>
    <x v="491"/>
    <n v="0.1"/>
    <s v="Regular Air"/>
    <n v="-1.72"/>
    <n v="1.1399999999999999"/>
    <n v="0.7"/>
    <x v="491"/>
    <s v="Quebec"/>
    <x v="4"/>
    <x v="0"/>
    <x v="0"/>
    <s v="Rubber Bands"/>
    <x v="491"/>
    <s v="Wrap Bag"/>
    <n v="0.38"/>
    <d v="2012-04-27T00:00:00"/>
  </r>
  <r>
    <n v="2365"/>
    <n v="17093"/>
    <x v="328"/>
    <x v="1"/>
    <n v="50"/>
    <x v="492"/>
    <n v="0.1"/>
    <s v="Delivery Truck"/>
    <n v="-1335.32"/>
    <n v="95.98"/>
    <n v="58.2"/>
    <x v="492"/>
    <s v="Yukon"/>
    <x v="5"/>
    <x v="1"/>
    <x v="1"/>
    <s v="Chairs &amp; Chairmats"/>
    <x v="492"/>
    <s v="Jumbo Drum"/>
    <n v="0.57999999999999996"/>
    <d v="2012-02-13T00:00:00"/>
  </r>
  <r>
    <n v="2375"/>
    <n v="17218"/>
    <x v="410"/>
    <x v="3"/>
    <n v="32"/>
    <x v="493"/>
    <n v="0.06"/>
    <s v="Regular Air"/>
    <n v="22.54"/>
    <n v="5.18"/>
    <n v="2.04"/>
    <x v="493"/>
    <s v="Quebec"/>
    <x v="4"/>
    <x v="3"/>
    <x v="0"/>
    <s v="Paper"/>
    <x v="493"/>
    <s v="Wrap Bag"/>
    <n v="0.36"/>
    <d v="2012-07-25T00:00:00"/>
  </r>
  <r>
    <n v="2434"/>
    <n v="17669"/>
    <x v="411"/>
    <x v="2"/>
    <n v="32"/>
    <x v="494"/>
    <n v="0.04"/>
    <s v="Regular Air"/>
    <n v="203.44"/>
    <n v="34.76"/>
    <n v="5.49"/>
    <x v="494"/>
    <s v="Yukon"/>
    <x v="5"/>
    <x v="0"/>
    <x v="0"/>
    <s v="Storage &amp; Organization"/>
    <x v="494"/>
    <s v="Small Box"/>
    <n v="0.6"/>
    <d v="2009-04-30T00:00:00"/>
  </r>
  <r>
    <n v="2474"/>
    <n v="17985"/>
    <x v="412"/>
    <x v="4"/>
    <n v="4"/>
    <x v="495"/>
    <n v="0.01"/>
    <s v="Delivery Truck"/>
    <n v="-183.26"/>
    <n v="110.98"/>
    <n v="30"/>
    <x v="495"/>
    <s v="Ontario"/>
    <x v="2"/>
    <x v="2"/>
    <x v="1"/>
    <s v="Chairs &amp; Chairmats"/>
    <x v="495"/>
    <s v="Jumbo Drum"/>
    <n v="0.71"/>
    <d v="2011-04-13T00:00:00"/>
  </r>
  <r>
    <n v="2527"/>
    <n v="18368"/>
    <x v="58"/>
    <x v="1"/>
    <n v="3"/>
    <x v="496"/>
    <n v="0"/>
    <s v="Regular Air"/>
    <n v="-65.150000000000006"/>
    <n v="70.97"/>
    <n v="3.5"/>
    <x v="496"/>
    <s v="Alberta"/>
    <x v="1"/>
    <x v="1"/>
    <x v="0"/>
    <s v="Appliances"/>
    <x v="496"/>
    <s v="Small Box"/>
    <n v="0.59"/>
    <d v="2012-12-02T00:00:00"/>
  </r>
  <r>
    <n v="2533"/>
    <n v="18374"/>
    <x v="413"/>
    <x v="0"/>
    <n v="21"/>
    <x v="497"/>
    <n v="0.09"/>
    <s v="Regular Air"/>
    <n v="-32.78"/>
    <n v="7.28"/>
    <n v="5.47"/>
    <x v="497"/>
    <s v="Saskachewan"/>
    <x v="3"/>
    <x v="1"/>
    <x v="0"/>
    <s v="Paper"/>
    <x v="497"/>
    <s v="Small Box"/>
    <n v="0.35"/>
    <d v="2012-10-02T00:00:00"/>
  </r>
  <r>
    <n v="2544"/>
    <n v="18464"/>
    <x v="414"/>
    <x v="2"/>
    <n v="27"/>
    <x v="498"/>
    <n v="0.02"/>
    <s v="Delivery Truck"/>
    <n v="253.14"/>
    <n v="180.98"/>
    <n v="55.24"/>
    <x v="498"/>
    <s v="Nova Scotia"/>
    <x v="6"/>
    <x v="0"/>
    <x v="0"/>
    <s v="Appliances"/>
    <x v="498"/>
    <s v="Jumbo Drum"/>
    <n v="0.56999999999999995"/>
    <d v="2012-03-30T00:00:00"/>
  </r>
  <r>
    <n v="2548"/>
    <n v="18465"/>
    <x v="415"/>
    <x v="2"/>
    <n v="12"/>
    <x v="499"/>
    <n v="0.05"/>
    <s v="Regular Air"/>
    <n v="-353.71"/>
    <n v="64.650000000000006"/>
    <n v="35"/>
    <x v="499"/>
    <s v="Ontario"/>
    <x v="2"/>
    <x v="0"/>
    <x v="0"/>
    <s v="Storage &amp; Organization"/>
    <x v="499"/>
    <s v="Large Box"/>
    <n v="0.8"/>
    <d v="2010-04-17T00:00:00"/>
  </r>
  <r>
    <n v="2573"/>
    <n v="18592"/>
    <x v="413"/>
    <x v="3"/>
    <n v="2"/>
    <x v="500"/>
    <n v="0.04"/>
    <s v="Regular Air"/>
    <n v="-15.5"/>
    <n v="10.98"/>
    <n v="3.37"/>
    <x v="500"/>
    <s v="Manitoba"/>
    <x v="3"/>
    <x v="1"/>
    <x v="0"/>
    <s v="Scissors, Rulers and Trimmers"/>
    <x v="500"/>
    <s v="Small Pack"/>
    <n v="0.56999999999999995"/>
    <d v="2012-10-01T00:00:00"/>
  </r>
  <r>
    <n v="2591"/>
    <n v="18723"/>
    <x v="285"/>
    <x v="4"/>
    <n v="1"/>
    <x v="501"/>
    <n v="0"/>
    <s v="Regular Air"/>
    <n v="-232.8"/>
    <n v="55.99"/>
    <n v="2.5"/>
    <x v="501"/>
    <s v="Ontario"/>
    <x v="2"/>
    <x v="3"/>
    <x v="2"/>
    <s v="Telephones and Communication"/>
    <x v="501"/>
    <s v="Small Pack"/>
    <n v="0.83"/>
    <d v="2009-08-14T00:00:00"/>
  </r>
  <r>
    <n v="2594"/>
    <n v="18754"/>
    <x v="416"/>
    <x v="1"/>
    <n v="8"/>
    <x v="502"/>
    <n v="0.03"/>
    <s v="Delivery Truck"/>
    <n v="-221.5"/>
    <n v="140.97999999999999"/>
    <n v="36.090000000000003"/>
    <x v="502"/>
    <s v="Nova Scotia"/>
    <x v="6"/>
    <x v="0"/>
    <x v="1"/>
    <s v="Bookcases"/>
    <x v="502"/>
    <s v="Jumbo Box"/>
    <n v="0.77"/>
    <d v="2009-09-27T00:00:00"/>
  </r>
  <r>
    <n v="2596"/>
    <n v="18757"/>
    <x v="417"/>
    <x v="0"/>
    <n v="9"/>
    <x v="503"/>
    <n v="0.03"/>
    <s v="Regular Air"/>
    <n v="-40.25"/>
    <n v="22.38"/>
    <n v="15.1"/>
    <x v="503"/>
    <s v="Ontario"/>
    <x v="2"/>
    <x v="3"/>
    <x v="0"/>
    <s v="Binders and Binder Accessories"/>
    <x v="503"/>
    <s v="Small Box"/>
    <n v="0.38"/>
    <d v="2012-05-24T00:00:00"/>
  </r>
  <r>
    <n v="2601"/>
    <n v="18789"/>
    <x v="418"/>
    <x v="2"/>
    <n v="50"/>
    <x v="504"/>
    <n v="0"/>
    <s v="Regular Air"/>
    <n v="417.62"/>
    <n v="30.98"/>
    <n v="9.18"/>
    <x v="504"/>
    <s v="Saskachewan"/>
    <x v="3"/>
    <x v="0"/>
    <x v="0"/>
    <s v="Paper"/>
    <x v="504"/>
    <s v="Small Box"/>
    <n v="0.4"/>
    <d v="2011-03-18T00:00:00"/>
  </r>
  <r>
    <n v="2653"/>
    <n v="19204"/>
    <x v="419"/>
    <x v="4"/>
    <n v="27"/>
    <x v="505"/>
    <n v="0.1"/>
    <s v="Regular Air"/>
    <n v="-80.75"/>
    <n v="8.75"/>
    <n v="8.5399999999999991"/>
    <x v="505"/>
    <s v="Ontario"/>
    <x v="2"/>
    <x v="1"/>
    <x v="1"/>
    <s v="Office Furnishings"/>
    <x v="505"/>
    <s v="Small Pack"/>
    <n v="0.43"/>
    <d v="2009-09-19T00:00:00"/>
  </r>
  <r>
    <n v="2691"/>
    <n v="19492"/>
    <x v="420"/>
    <x v="2"/>
    <n v="9"/>
    <x v="506"/>
    <n v="0.08"/>
    <s v="Regular Air"/>
    <n v="364.03"/>
    <n v="78.69"/>
    <n v="19.989999999999998"/>
    <x v="506"/>
    <s v="Manitoba"/>
    <x v="3"/>
    <x v="0"/>
    <x v="1"/>
    <s v="Office Furnishings"/>
    <x v="506"/>
    <s v="Small Box"/>
    <n v="0.43"/>
    <d v="2010-12-14T00:00:00"/>
  </r>
  <r>
    <n v="2699"/>
    <n v="19523"/>
    <x v="251"/>
    <x v="2"/>
    <n v="44"/>
    <x v="507"/>
    <n v="0.04"/>
    <s v="Regular Air"/>
    <n v="-10"/>
    <n v="3.6"/>
    <n v="2.2000000000000002"/>
    <x v="507"/>
    <s v="Ontario"/>
    <x v="2"/>
    <x v="1"/>
    <x v="0"/>
    <s v="Paper"/>
    <x v="507"/>
    <s v="Wrap Bag"/>
    <n v="0.39"/>
    <d v="2011-12-01T00:00:00"/>
  </r>
  <r>
    <n v="2725"/>
    <n v="19654"/>
    <x v="119"/>
    <x v="2"/>
    <n v="8"/>
    <x v="508"/>
    <n v="0.04"/>
    <s v="Regular Air"/>
    <n v="256.18"/>
    <n v="46.94"/>
    <n v="6.77"/>
    <x v="508"/>
    <s v="Saskachewan"/>
    <x v="3"/>
    <x v="2"/>
    <x v="1"/>
    <s v="Office Furnishings"/>
    <x v="508"/>
    <s v="Small Box"/>
    <n v="0.44"/>
    <d v="2011-01-09T00:00:00"/>
  </r>
  <r>
    <n v="2743"/>
    <n v="19811"/>
    <x v="421"/>
    <x v="0"/>
    <n v="49"/>
    <x v="509"/>
    <n v="0.01"/>
    <s v="Express Air"/>
    <n v="-115.1"/>
    <n v="8.57"/>
    <n v="6.14"/>
    <x v="509"/>
    <s v="Quebec"/>
    <x v="4"/>
    <x v="1"/>
    <x v="0"/>
    <s v="Scissors, Rulers and Trimmers"/>
    <x v="509"/>
    <s v="Small Pack"/>
    <n v="0.59"/>
    <d v="2011-08-13T00:00:00"/>
  </r>
  <r>
    <n v="2780"/>
    <n v="20068"/>
    <x v="422"/>
    <x v="3"/>
    <n v="9"/>
    <x v="510"/>
    <n v="0.09"/>
    <s v="Regular Air"/>
    <n v="-46.13"/>
    <n v="5.53"/>
    <n v="6.98"/>
    <x v="510"/>
    <s v="Quebec"/>
    <x v="4"/>
    <x v="2"/>
    <x v="0"/>
    <s v="Binders and Binder Accessories"/>
    <x v="510"/>
    <s v="Small Box"/>
    <n v="0.39"/>
    <d v="2011-03-01T00:00:00"/>
  </r>
  <r>
    <n v="2796"/>
    <n v="20160"/>
    <x v="3"/>
    <x v="0"/>
    <n v="42"/>
    <x v="511"/>
    <n v="0.08"/>
    <s v="Express Air"/>
    <n v="174.89"/>
    <n v="10.31"/>
    <n v="1.79"/>
    <x v="511"/>
    <s v="Northwest Territories"/>
    <x v="7"/>
    <x v="0"/>
    <x v="0"/>
    <s v="Paper"/>
    <x v="511"/>
    <s v="Wrap Bag"/>
    <n v="0.38"/>
    <d v="2011-10-24T00:00:00"/>
  </r>
  <r>
    <n v="2800"/>
    <n v="20193"/>
    <x v="274"/>
    <x v="4"/>
    <n v="23"/>
    <x v="512"/>
    <n v="7.0000000000000007E-2"/>
    <s v="Regular Air"/>
    <n v="-121.59"/>
    <n v="3.52"/>
    <n v="6.83"/>
    <x v="512"/>
    <s v="Alberta"/>
    <x v="1"/>
    <x v="1"/>
    <x v="0"/>
    <s v="Binders and Binder Accessories"/>
    <x v="512"/>
    <s v="Small Box"/>
    <n v="0.38"/>
    <d v="2010-11-09T00:00:00"/>
  </r>
  <r>
    <n v="2831"/>
    <n v="20448"/>
    <x v="423"/>
    <x v="3"/>
    <n v="23"/>
    <x v="513"/>
    <n v="0.02"/>
    <s v="Express Air"/>
    <n v="6.84"/>
    <n v="3.69"/>
    <n v="2.5"/>
    <x v="513"/>
    <s v="British Columbia"/>
    <x v="1"/>
    <x v="1"/>
    <x v="0"/>
    <s v="Envelopes"/>
    <x v="513"/>
    <s v="Small Box"/>
    <n v="0.39"/>
    <d v="2011-08-03T00:00:00"/>
  </r>
  <r>
    <n v="2839"/>
    <n v="20455"/>
    <x v="26"/>
    <x v="3"/>
    <n v="7"/>
    <x v="514"/>
    <n v="0.08"/>
    <s v="Express Air"/>
    <n v="-233.56"/>
    <n v="65.989999999999995"/>
    <n v="8.99"/>
    <x v="514"/>
    <s v="Nova Scotia"/>
    <x v="6"/>
    <x v="1"/>
    <x v="2"/>
    <s v="Telephones and Communication"/>
    <x v="514"/>
    <s v="Small Box"/>
    <n v="0.57999999999999996"/>
    <d v="2010-06-29T00:00:00"/>
  </r>
  <r>
    <n v="2855"/>
    <n v="20549"/>
    <x v="320"/>
    <x v="1"/>
    <n v="40"/>
    <x v="515"/>
    <n v="0.09"/>
    <s v="Regular Air"/>
    <n v="-568.71"/>
    <n v="27.75"/>
    <n v="19.989999999999998"/>
    <x v="515"/>
    <s v="Saskachewan"/>
    <x v="3"/>
    <x v="1"/>
    <x v="0"/>
    <s v="Storage &amp; Organization"/>
    <x v="515"/>
    <s v="Small Box"/>
    <n v="0.67"/>
    <d v="2009-01-13T00:00:00"/>
  </r>
  <r>
    <n v="2912"/>
    <n v="21024"/>
    <x v="23"/>
    <x v="4"/>
    <n v="34"/>
    <x v="516"/>
    <n v="0.05"/>
    <s v="Regular Air"/>
    <n v="33.799999999999997"/>
    <n v="5.84"/>
    <n v="1.2"/>
    <x v="516"/>
    <s v="British Columbia"/>
    <x v="1"/>
    <x v="1"/>
    <x v="0"/>
    <s v="Pens &amp; Art Supplies"/>
    <x v="516"/>
    <s v="Wrap Bag"/>
    <n v="0.55000000000000004"/>
    <d v="2010-12-30T00:00:00"/>
  </r>
  <r>
    <n v="2956"/>
    <n v="21383"/>
    <x v="424"/>
    <x v="0"/>
    <n v="31"/>
    <x v="517"/>
    <n v="7.0000000000000007E-2"/>
    <s v="Regular Air"/>
    <n v="7416.43"/>
    <n v="574.74"/>
    <n v="24.49"/>
    <x v="517"/>
    <s v="Northwest Territories"/>
    <x v="7"/>
    <x v="3"/>
    <x v="2"/>
    <s v="Office Machines"/>
    <x v="517"/>
    <s v="Large Box"/>
    <n v="0.37"/>
    <d v="2009-02-04T00:00:00"/>
  </r>
  <r>
    <n v="2984"/>
    <n v="21542"/>
    <x v="248"/>
    <x v="2"/>
    <n v="18"/>
    <x v="518"/>
    <n v="0.04"/>
    <s v="Regular Air"/>
    <n v="-27.34"/>
    <n v="21.38"/>
    <n v="8.99"/>
    <x v="518"/>
    <s v="Prince Edward Island"/>
    <x v="6"/>
    <x v="1"/>
    <x v="0"/>
    <s v="Pens &amp; Art Supplies"/>
    <x v="518"/>
    <s v="Small Pack"/>
    <n v="0.59"/>
    <d v="2011-05-22T00:00:00"/>
  </r>
  <r>
    <n v="3008"/>
    <n v="21639"/>
    <x v="381"/>
    <x v="1"/>
    <n v="24"/>
    <x v="519"/>
    <n v="7.0000000000000007E-2"/>
    <s v="Regular Air"/>
    <n v="-169.17"/>
    <n v="5.94"/>
    <n v="9.92"/>
    <x v="519"/>
    <s v="Yukon"/>
    <x v="5"/>
    <x v="2"/>
    <x v="0"/>
    <s v="Binders and Binder Accessories"/>
    <x v="519"/>
    <s v="Small Box"/>
    <n v="0.38"/>
    <d v="2011-02-04T00:00:00"/>
  </r>
  <r>
    <n v="3058"/>
    <n v="21894"/>
    <x v="425"/>
    <x v="3"/>
    <n v="6"/>
    <x v="520"/>
    <n v="0.1"/>
    <s v="Regular Air"/>
    <n v="1.27"/>
    <n v="9.68"/>
    <n v="2.0299999999999998"/>
    <x v="520"/>
    <s v="Manitoba"/>
    <x v="3"/>
    <x v="3"/>
    <x v="0"/>
    <s v="Paper"/>
    <x v="520"/>
    <s v="Wrap Bag"/>
    <n v="0.37"/>
    <d v="2011-12-20T00:00:00"/>
  </r>
  <r>
    <n v="3148"/>
    <n v="22563"/>
    <x v="97"/>
    <x v="3"/>
    <n v="32"/>
    <x v="521"/>
    <n v="0.06"/>
    <s v="Regular Air"/>
    <n v="-9.7799999999999994"/>
    <n v="7.7"/>
    <n v="3.68"/>
    <x v="521"/>
    <s v="Alberta"/>
    <x v="1"/>
    <x v="2"/>
    <x v="1"/>
    <s v="Office Furnishings"/>
    <x v="521"/>
    <s v="Wrap Bag"/>
    <n v="0.52"/>
    <d v="2012-05-23T00:00:00"/>
  </r>
  <r>
    <n v="3187"/>
    <n v="22880"/>
    <x v="426"/>
    <x v="4"/>
    <n v="13"/>
    <x v="522"/>
    <n v="0.01"/>
    <s v="Regular Air"/>
    <n v="-20.68"/>
    <n v="1.7"/>
    <n v="1.99"/>
    <x v="522"/>
    <s v="Nova Scotia"/>
    <x v="6"/>
    <x v="0"/>
    <x v="2"/>
    <s v="Computer Peripherals"/>
    <x v="522"/>
    <s v="Small Pack"/>
    <n v="0.51"/>
    <d v="2010-06-02T00:00:00"/>
  </r>
  <r>
    <n v="3485"/>
    <n v="24802"/>
    <x v="363"/>
    <x v="4"/>
    <n v="18"/>
    <x v="523"/>
    <n v="0.01"/>
    <s v="Regular Air"/>
    <n v="-23.44"/>
    <n v="73.98"/>
    <n v="12.14"/>
    <x v="523"/>
    <s v="Alberta"/>
    <x v="1"/>
    <x v="0"/>
    <x v="2"/>
    <s v="Computer Peripherals"/>
    <x v="523"/>
    <s v="Small Box"/>
    <n v="0.67"/>
    <d v="2009-01-25T00:00:00"/>
  </r>
  <r>
    <n v="3512"/>
    <n v="25028"/>
    <x v="427"/>
    <x v="3"/>
    <n v="5"/>
    <x v="524"/>
    <n v="0.02"/>
    <s v="Delivery Truck"/>
    <n v="-211.36"/>
    <n v="81.94"/>
    <n v="55.81"/>
    <x v="524"/>
    <s v="Alberta"/>
    <x v="1"/>
    <x v="2"/>
    <x v="1"/>
    <s v="Bookcases"/>
    <x v="524"/>
    <s v="Jumbo Box"/>
    <n v="0.6"/>
    <d v="2011-01-06T00:00:00"/>
  </r>
  <r>
    <n v="3519"/>
    <n v="25061"/>
    <x v="425"/>
    <x v="4"/>
    <n v="20"/>
    <x v="525"/>
    <n v="0.1"/>
    <s v="Regular Air"/>
    <n v="344.95"/>
    <n v="48.04"/>
    <n v="7.23"/>
    <x v="525"/>
    <s v="Ontario"/>
    <x v="2"/>
    <x v="2"/>
    <x v="0"/>
    <s v="Paper"/>
    <x v="525"/>
    <s v="Small Box"/>
    <n v="0.37"/>
    <d v="2011-12-20T00:00:00"/>
  </r>
  <r>
    <n v="3562"/>
    <n v="25412"/>
    <x v="428"/>
    <x v="1"/>
    <n v="18"/>
    <x v="526"/>
    <n v="0.01"/>
    <s v="Regular Air"/>
    <n v="-99.42"/>
    <n v="6.48"/>
    <n v="9.68"/>
    <x v="526"/>
    <s v="Alberta"/>
    <x v="1"/>
    <x v="1"/>
    <x v="0"/>
    <s v="Paper"/>
    <x v="526"/>
    <s v="Small Box"/>
    <n v="0.36"/>
    <d v="2011-06-08T00:00:00"/>
  </r>
  <r>
    <n v="3591"/>
    <n v="25634"/>
    <x v="429"/>
    <x v="1"/>
    <n v="29"/>
    <x v="527"/>
    <n v="0.03"/>
    <s v="Regular Air"/>
    <n v="28.99"/>
    <n v="20.95"/>
    <n v="4"/>
    <x v="527"/>
    <s v="Northwest Territories"/>
    <x v="7"/>
    <x v="1"/>
    <x v="2"/>
    <s v="Computer Peripherals"/>
    <x v="527"/>
    <s v="Small Box"/>
    <n v="0.6"/>
    <d v="2010-08-01T00:00:00"/>
  </r>
  <r>
    <n v="3641"/>
    <n v="26023"/>
    <x v="430"/>
    <x v="2"/>
    <n v="49"/>
    <x v="528"/>
    <n v="0.03"/>
    <s v="Regular Air"/>
    <n v="19.86"/>
    <n v="2.4700000000000002"/>
    <n v="1.02"/>
    <x v="528"/>
    <s v="Northwest Territories"/>
    <x v="7"/>
    <x v="1"/>
    <x v="0"/>
    <s v="Rubber Bands"/>
    <x v="528"/>
    <s v="Wrap Bag"/>
    <n v="0.38"/>
    <d v="2010-08-21T00:00:00"/>
  </r>
  <r>
    <n v="3664"/>
    <n v="26243"/>
    <x v="246"/>
    <x v="0"/>
    <n v="42"/>
    <x v="529"/>
    <n v="0.08"/>
    <s v="Regular Air"/>
    <n v="-4.9000000000000004"/>
    <n v="1.82"/>
    <n v="1"/>
    <x v="529"/>
    <s v="Newfoundland"/>
    <x v="6"/>
    <x v="1"/>
    <x v="0"/>
    <s v="Pens &amp; Art Supplies"/>
    <x v="529"/>
    <s v="Wrap Bag"/>
    <n v="0.4"/>
    <d v="2011-07-20T00:00:00"/>
  </r>
  <r>
    <n v="3827"/>
    <n v="27298"/>
    <x v="431"/>
    <x v="0"/>
    <n v="40"/>
    <x v="530"/>
    <n v="0.09"/>
    <s v="Regular Air"/>
    <n v="2154.33"/>
    <n v="199.99"/>
    <n v="24.49"/>
    <x v="530"/>
    <s v="British Columbia"/>
    <x v="1"/>
    <x v="0"/>
    <x v="2"/>
    <s v="Copiers and Fax"/>
    <x v="530"/>
    <s v="Large Box"/>
    <n v="0.46"/>
    <d v="2011-11-23T00:00:00"/>
  </r>
  <r>
    <n v="3882"/>
    <n v="27744"/>
    <x v="432"/>
    <x v="3"/>
    <n v="22"/>
    <x v="531"/>
    <n v="0.01"/>
    <s v="Regular Air"/>
    <n v="-76.599999999999994"/>
    <n v="4.54"/>
    <n v="5.83"/>
    <x v="531"/>
    <s v="Yukon"/>
    <x v="5"/>
    <x v="1"/>
    <x v="0"/>
    <s v="Binders and Binder Accessories"/>
    <x v="531"/>
    <s v="Small Box"/>
    <n v="0.36"/>
    <d v="2010-08-04T00:00:00"/>
  </r>
  <r>
    <n v="3910"/>
    <n v="27876"/>
    <x v="433"/>
    <x v="0"/>
    <n v="44"/>
    <x v="532"/>
    <n v="0.03"/>
    <s v="Regular Air"/>
    <n v="-70.540000000000006"/>
    <n v="16.989999999999998"/>
    <n v="8.99"/>
    <x v="532"/>
    <s v="British Columbia"/>
    <x v="1"/>
    <x v="1"/>
    <x v="0"/>
    <s v="Pens &amp; Art Supplies"/>
    <x v="532"/>
    <s v="Small Pack"/>
    <n v="0.56000000000000005"/>
    <d v="2010-09-14T00:00:00"/>
  </r>
  <r>
    <n v="4028"/>
    <n v="28772"/>
    <x v="434"/>
    <x v="2"/>
    <n v="16"/>
    <x v="533"/>
    <n v="0.02"/>
    <s v="Regular Air"/>
    <n v="-763.8"/>
    <n v="71.37"/>
    <n v="69"/>
    <x v="533"/>
    <s v="Saskachewan"/>
    <x v="3"/>
    <x v="0"/>
    <x v="1"/>
    <s v="Tables"/>
    <x v="533"/>
    <s v="Large Box"/>
    <n v="0.68"/>
    <d v="2009-02-07T00:00:00"/>
  </r>
  <r>
    <n v="4157"/>
    <n v="29504"/>
    <x v="182"/>
    <x v="1"/>
    <n v="20"/>
    <x v="534"/>
    <n v="0.04"/>
    <s v="Delivery Truck"/>
    <n v="25.32"/>
    <n v="70.98"/>
    <n v="26.85"/>
    <x v="534"/>
    <s v="New Brunswick"/>
    <x v="6"/>
    <x v="0"/>
    <x v="1"/>
    <s v="Bookcases"/>
    <x v="534"/>
    <s v="Jumbo Box"/>
    <m/>
    <d v="2010-09-25T00:00:00"/>
  </r>
  <r>
    <n v="4284"/>
    <n v="30532"/>
    <x v="229"/>
    <x v="2"/>
    <n v="28"/>
    <x v="535"/>
    <n v="0.03"/>
    <s v="Regular Air"/>
    <n v="-28.67"/>
    <n v="15.22"/>
    <n v="9.73"/>
    <x v="535"/>
    <s v="Ontario"/>
    <x v="2"/>
    <x v="2"/>
    <x v="0"/>
    <s v="Binders and Binder Accessories"/>
    <x v="535"/>
    <s v="Small Box"/>
    <n v="0.36"/>
    <d v="2011-11-27T00:00:00"/>
  </r>
  <r>
    <n v="4303"/>
    <n v="30657"/>
    <x v="435"/>
    <x v="2"/>
    <n v="6"/>
    <x v="536"/>
    <n v="0.06"/>
    <s v="Express Air"/>
    <n v="-170.91"/>
    <n v="43.22"/>
    <n v="16.71"/>
    <x v="536"/>
    <s v="Saskachewan"/>
    <x v="3"/>
    <x v="1"/>
    <x v="2"/>
    <s v="Computer Peripherals"/>
    <x v="536"/>
    <s v="Small Box"/>
    <n v="0.66"/>
    <d v="2011-05-11T00:00:00"/>
  </r>
  <r>
    <n v="4386"/>
    <n v="31237"/>
    <x v="436"/>
    <x v="1"/>
    <n v="13"/>
    <x v="537"/>
    <n v="0"/>
    <s v="Regular Air"/>
    <n v="225.26"/>
    <n v="42.8"/>
    <n v="2.99"/>
    <x v="537"/>
    <s v="Alberta"/>
    <x v="1"/>
    <x v="0"/>
    <x v="0"/>
    <s v="Binders and Binder Accessories"/>
    <x v="537"/>
    <s v="Small Box"/>
    <n v="0.36"/>
    <d v="2011-07-29T00:00:00"/>
  </r>
  <r>
    <n v="4406"/>
    <n v="31399"/>
    <x v="437"/>
    <x v="1"/>
    <n v="9"/>
    <x v="538"/>
    <n v="0.09"/>
    <s v="Regular Air"/>
    <n v="-120.93"/>
    <n v="45.99"/>
    <n v="4.99"/>
    <x v="538"/>
    <s v="Alberta"/>
    <x v="1"/>
    <x v="3"/>
    <x v="2"/>
    <s v="Telephones and Communication"/>
    <x v="538"/>
    <s v="Small Box"/>
    <n v="0.56000000000000005"/>
    <d v="2011-11-06T00:00:00"/>
  </r>
  <r>
    <n v="4512"/>
    <n v="32102"/>
    <x v="438"/>
    <x v="4"/>
    <n v="2"/>
    <x v="539"/>
    <n v="0.02"/>
    <s v="Regular Air"/>
    <n v="-10.39"/>
    <n v="6.48"/>
    <n v="6.22"/>
    <x v="539"/>
    <s v="Quebec"/>
    <x v="4"/>
    <x v="2"/>
    <x v="0"/>
    <s v="Paper"/>
    <x v="539"/>
    <s v="Small Box"/>
    <n v="0.37"/>
    <d v="2012-12-16T00:00:00"/>
  </r>
  <r>
    <n v="4536"/>
    <n v="32291"/>
    <x v="439"/>
    <x v="4"/>
    <n v="13"/>
    <x v="540"/>
    <n v="0.01"/>
    <s v="Regular Air"/>
    <n v="-100.89"/>
    <n v="12.99"/>
    <n v="14.37"/>
    <x v="540"/>
    <s v="British Columbia"/>
    <x v="1"/>
    <x v="0"/>
    <x v="1"/>
    <s v="Office Furnishings"/>
    <x v="540"/>
    <s v="Large Box"/>
    <n v="0.73"/>
    <d v="2009-11-05T00:00:00"/>
  </r>
  <r>
    <n v="4564"/>
    <n v="32454"/>
    <x v="440"/>
    <x v="3"/>
    <n v="12"/>
    <x v="541"/>
    <n v="0.05"/>
    <s v="Regular Air"/>
    <n v="-29.59"/>
    <n v="6.81"/>
    <n v="5.48"/>
    <x v="541"/>
    <s v="Ontario"/>
    <x v="2"/>
    <x v="3"/>
    <x v="0"/>
    <s v="Binders and Binder Accessories"/>
    <x v="541"/>
    <s v="Small Box"/>
    <n v="0.37"/>
    <d v="2011-04-01T00:00:00"/>
  </r>
  <r>
    <n v="4880"/>
    <n v="34723"/>
    <x v="231"/>
    <x v="4"/>
    <n v="4"/>
    <x v="542"/>
    <n v="0.06"/>
    <s v="Delivery Truck"/>
    <n v="-3001.28"/>
    <n v="1500.97"/>
    <n v="29.7"/>
    <x v="542"/>
    <s v="Saskachewan"/>
    <x v="3"/>
    <x v="0"/>
    <x v="2"/>
    <s v="Office Machines"/>
    <x v="542"/>
    <s v="Jumbo Drum"/>
    <n v="0.56999999999999995"/>
    <d v="2012-12-11T00:00:00"/>
  </r>
  <r>
    <n v="4946"/>
    <n v="35142"/>
    <x v="441"/>
    <x v="0"/>
    <n v="11"/>
    <x v="543"/>
    <n v="0.03"/>
    <s v="Regular Air"/>
    <n v="89.29"/>
    <n v="20.239999999999998"/>
    <n v="6.67"/>
    <x v="543"/>
    <s v="Ontario"/>
    <x v="2"/>
    <x v="1"/>
    <x v="1"/>
    <s v="Office Furnishings"/>
    <x v="543"/>
    <s v="Small Pack"/>
    <n v="0.49"/>
    <d v="2010-04-24T00:00:00"/>
  </r>
  <r>
    <n v="4976"/>
    <n v="35399"/>
    <x v="442"/>
    <x v="0"/>
    <n v="38"/>
    <x v="544"/>
    <n v="0.04"/>
    <s v="Regular Air"/>
    <n v="-120.12"/>
    <n v="4.91"/>
    <n v="5.68"/>
    <x v="544"/>
    <s v="Saskachewan"/>
    <x v="3"/>
    <x v="1"/>
    <x v="0"/>
    <s v="Binders and Binder Accessories"/>
    <x v="544"/>
    <s v="Small Box"/>
    <n v="0.36"/>
    <d v="2011-01-23T00:00:00"/>
  </r>
  <r>
    <n v="4985"/>
    <n v="35461"/>
    <x v="151"/>
    <x v="3"/>
    <n v="11"/>
    <x v="545"/>
    <n v="0.08"/>
    <s v="Regular Air"/>
    <n v="3.5"/>
    <n v="4.49"/>
    <n v="1.49"/>
    <x v="545"/>
    <s v="Manitoba"/>
    <x v="3"/>
    <x v="1"/>
    <x v="0"/>
    <s v="Binders and Binder Accessories"/>
    <x v="545"/>
    <s v="Small Box"/>
    <n v="0.39"/>
    <d v="2009-06-01T00:00:00"/>
  </r>
  <r>
    <n v="5039"/>
    <n v="35910"/>
    <x v="443"/>
    <x v="2"/>
    <n v="28"/>
    <x v="546"/>
    <n v="0.02"/>
    <s v="Express Air"/>
    <n v="334.53"/>
    <n v="35.99"/>
    <n v="3.3"/>
    <x v="546"/>
    <s v="Saskachewan"/>
    <x v="3"/>
    <x v="1"/>
    <x v="2"/>
    <s v="Telephones and Communication"/>
    <x v="546"/>
    <s v="Small Pack"/>
    <n v="0.39"/>
    <d v="2010-11-25T00:00:00"/>
  </r>
  <r>
    <n v="5163"/>
    <n v="36741"/>
    <x v="444"/>
    <x v="3"/>
    <n v="26"/>
    <x v="547"/>
    <n v="0.08"/>
    <s v="Regular Air"/>
    <n v="34.479999999999997"/>
    <n v="5.68"/>
    <n v="1.46"/>
    <x v="547"/>
    <s v="Ontario"/>
    <x v="2"/>
    <x v="2"/>
    <x v="0"/>
    <s v="Paper"/>
    <x v="547"/>
    <s v="Wrap Bag"/>
    <n v="0.39"/>
    <d v="2010-12-22T00:00:00"/>
  </r>
  <r>
    <n v="5352"/>
    <n v="38048"/>
    <x v="445"/>
    <x v="2"/>
    <n v="42"/>
    <x v="548"/>
    <n v="0.1"/>
    <s v="Regular Air"/>
    <n v="478.11"/>
    <n v="65.989999999999995"/>
    <n v="5.63"/>
    <x v="548"/>
    <s v="Quebec"/>
    <x v="4"/>
    <x v="1"/>
    <x v="2"/>
    <s v="Telephones and Communication"/>
    <x v="548"/>
    <s v="Small Box"/>
    <n v="0.56000000000000005"/>
    <d v="2010-01-24T00:00:00"/>
  </r>
  <r>
    <n v="5381"/>
    <n v="38274"/>
    <x v="446"/>
    <x v="2"/>
    <n v="9"/>
    <x v="549"/>
    <n v="0.08"/>
    <s v="Regular Air"/>
    <n v="0.98"/>
    <n v="140.81"/>
    <n v="24.49"/>
    <x v="549"/>
    <s v="Ontario"/>
    <x v="2"/>
    <x v="3"/>
    <x v="1"/>
    <s v="Chairs &amp; Chairmats"/>
    <x v="549"/>
    <s v="Large Box"/>
    <n v="0.56999999999999995"/>
    <d v="2011-06-12T00:00:00"/>
  </r>
  <r>
    <n v="5426"/>
    <n v="38561"/>
    <x v="371"/>
    <x v="3"/>
    <n v="19"/>
    <x v="550"/>
    <n v="0.1"/>
    <s v="Regular Air"/>
    <n v="-59.64"/>
    <n v="9.48"/>
    <n v="7.29"/>
    <x v="550"/>
    <s v="Saskachewan"/>
    <x v="3"/>
    <x v="2"/>
    <x v="1"/>
    <s v="Office Furnishings"/>
    <x v="550"/>
    <s v="Small Pack"/>
    <n v="0.45"/>
    <d v="2011-09-01T00:00:00"/>
  </r>
  <r>
    <n v="6348"/>
    <n v="44995"/>
    <x v="447"/>
    <x v="2"/>
    <n v="46"/>
    <x v="551"/>
    <n v="0.01"/>
    <s v="Regular Air"/>
    <n v="132.79"/>
    <n v="28.99"/>
    <n v="8.59"/>
    <x v="551"/>
    <s v="Alberta"/>
    <x v="1"/>
    <x v="2"/>
    <x v="2"/>
    <s v="Telephones and Communication"/>
    <x v="551"/>
    <s v="Medium Box"/>
    <n v="0.56000000000000005"/>
    <d v="2009-08-07T00:00:00"/>
  </r>
  <r>
    <n v="7870"/>
    <n v="56291"/>
    <x v="448"/>
    <x v="1"/>
    <n v="22"/>
    <x v="552"/>
    <n v="0.06"/>
    <s v="Delivery Truck"/>
    <n v="1869.86"/>
    <n v="517.48"/>
    <n v="16.63"/>
    <x v="552"/>
    <s v="Quebec"/>
    <x v="4"/>
    <x v="1"/>
    <x v="2"/>
    <s v="Office Machines"/>
    <x v="552"/>
    <s v="Jumbo Box"/>
    <n v="0.59"/>
    <d v="2012-09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73DBE-72E0-44FC-9E91-A374FF0EECBD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Order Priority">
  <location ref="U3:V9" firstHeaderRow="1" firstDataRow="1" firstDataCol="1"/>
  <pivotFields count="24">
    <pivotField showAll="0"/>
    <pivotField showAll="0"/>
    <pivotField numFmtId="168" showAll="0">
      <items count="450">
        <item x="353"/>
        <item x="28"/>
        <item x="309"/>
        <item x="200"/>
        <item x="339"/>
        <item x="320"/>
        <item x="142"/>
        <item x="6"/>
        <item x="363"/>
        <item x="424"/>
        <item x="43"/>
        <item x="434"/>
        <item x="203"/>
        <item x="77"/>
        <item x="373"/>
        <item x="355"/>
        <item x="137"/>
        <item x="389"/>
        <item x="324"/>
        <item x="144"/>
        <item x="303"/>
        <item x="32"/>
        <item x="230"/>
        <item x="250"/>
        <item x="195"/>
        <item x="187"/>
        <item x="287"/>
        <item x="345"/>
        <item x="100"/>
        <item x="337"/>
        <item x="9"/>
        <item x="189"/>
        <item x="192"/>
        <item x="90"/>
        <item x="352"/>
        <item x="411"/>
        <item x="296"/>
        <item x="138"/>
        <item x="87"/>
        <item x="129"/>
        <item x="318"/>
        <item x="110"/>
        <item x="332"/>
        <item x="27"/>
        <item x="344"/>
        <item x="279"/>
        <item x="281"/>
        <item x="227"/>
        <item x="267"/>
        <item x="301"/>
        <item x="151"/>
        <item x="157"/>
        <item x="7"/>
        <item x="265"/>
        <item x="36"/>
        <item x="78"/>
        <item x="21"/>
        <item x="103"/>
        <item x="215"/>
        <item x="109"/>
        <item x="205"/>
        <item x="275"/>
        <item x="347"/>
        <item x="83"/>
        <item x="217"/>
        <item x="447"/>
        <item x="202"/>
        <item x="285"/>
        <item x="403"/>
        <item x="394"/>
        <item x="362"/>
        <item x="146"/>
        <item x="375"/>
        <item x="234"/>
        <item x="378"/>
        <item x="360"/>
        <item x="317"/>
        <item x="356"/>
        <item x="419"/>
        <item x="191"/>
        <item x="53"/>
        <item x="293"/>
        <item x="416"/>
        <item x="25"/>
        <item x="82"/>
        <item x="402"/>
        <item x="190"/>
        <item x="354"/>
        <item x="390"/>
        <item x="406"/>
        <item x="214"/>
        <item x="331"/>
        <item x="211"/>
        <item x="439"/>
        <item x="387"/>
        <item x="258"/>
        <item x="286"/>
        <item x="199"/>
        <item x="62"/>
        <item x="225"/>
        <item x="221"/>
        <item x="91"/>
        <item x="61"/>
        <item x="118"/>
        <item x="333"/>
        <item x="85"/>
        <item x="38"/>
        <item x="115"/>
        <item x="216"/>
        <item x="294"/>
        <item x="65"/>
        <item x="273"/>
        <item x="159"/>
        <item x="139"/>
        <item x="59"/>
        <item x="395"/>
        <item x="445"/>
        <item x="105"/>
        <item x="10"/>
        <item x="388"/>
        <item x="219"/>
        <item x="398"/>
        <item x="232"/>
        <item x="104"/>
        <item x="322"/>
        <item x="397"/>
        <item x="96"/>
        <item x="163"/>
        <item x="63"/>
        <item x="66"/>
        <item x="126"/>
        <item x="396"/>
        <item x="80"/>
        <item x="156"/>
        <item x="155"/>
        <item x="365"/>
        <item x="336"/>
        <item x="241"/>
        <item x="282"/>
        <item x="367"/>
        <item x="263"/>
        <item x="290"/>
        <item x="198"/>
        <item x="161"/>
        <item x="415"/>
        <item x="69"/>
        <item x="254"/>
        <item x="327"/>
        <item x="441"/>
        <item x="95"/>
        <item x="114"/>
        <item x="183"/>
        <item x="108"/>
        <item x="300"/>
        <item x="349"/>
        <item x="210"/>
        <item x="175"/>
        <item x="236"/>
        <item x="326"/>
        <item x="167"/>
        <item x="426"/>
        <item x="67"/>
        <item x="81"/>
        <item x="186"/>
        <item x="13"/>
        <item x="239"/>
        <item x="149"/>
        <item x="238"/>
        <item x="26"/>
        <item x="171"/>
        <item x="30"/>
        <item x="305"/>
        <item x="429"/>
        <item x="432"/>
        <item x="17"/>
        <item x="357"/>
        <item x="391"/>
        <item x="261"/>
        <item x="113"/>
        <item x="168"/>
        <item x="430"/>
        <item x="366"/>
        <item x="52"/>
        <item x="154"/>
        <item x="92"/>
        <item x="433"/>
        <item x="123"/>
        <item x="201"/>
        <item x="37"/>
        <item x="140"/>
        <item x="182"/>
        <item x="70"/>
        <item x="42"/>
        <item x="233"/>
        <item x="319"/>
        <item x="271"/>
        <item x="249"/>
        <item x="0"/>
        <item x="180"/>
        <item x="382"/>
        <item x="24"/>
        <item x="169"/>
        <item x="386"/>
        <item x="141"/>
        <item x="274"/>
        <item x="260"/>
        <item x="240"/>
        <item x="359"/>
        <item x="177"/>
        <item x="283"/>
        <item x="75"/>
        <item x="443"/>
        <item x="145"/>
        <item x="226"/>
        <item x="323"/>
        <item x="228"/>
        <item x="312"/>
        <item x="420"/>
        <item x="166"/>
        <item x="8"/>
        <item x="444"/>
        <item x="346"/>
        <item x="270"/>
        <item x="19"/>
        <item x="23"/>
        <item x="131"/>
        <item x="35"/>
        <item x="348"/>
        <item x="73"/>
        <item x="427"/>
        <item x="220"/>
        <item x="119"/>
        <item x="384"/>
        <item x="442"/>
        <item x="40"/>
        <item x="342"/>
        <item x="308"/>
        <item x="381"/>
        <item x="153"/>
        <item x="127"/>
        <item x="316"/>
        <item x="277"/>
        <item x="237"/>
        <item x="377"/>
        <item x="235"/>
        <item x="321"/>
        <item x="422"/>
        <item x="84"/>
        <item x="45"/>
        <item x="405"/>
        <item x="122"/>
        <item x="134"/>
        <item x="224"/>
        <item x="418"/>
        <item x="5"/>
        <item x="340"/>
        <item x="60"/>
        <item x="440"/>
        <item x="20"/>
        <item x="412"/>
        <item x="299"/>
        <item x="51"/>
        <item x="165"/>
        <item x="196"/>
        <item x="278"/>
        <item x="133"/>
        <item x="334"/>
        <item x="435"/>
        <item x="364"/>
        <item x="88"/>
        <item x="50"/>
        <item x="248"/>
        <item x="22"/>
        <item x="243"/>
        <item x="34"/>
        <item x="428"/>
        <item x="369"/>
        <item x="446"/>
        <item x="256"/>
        <item x="68"/>
        <item x="57"/>
        <item x="376"/>
        <item x="310"/>
        <item x="74"/>
        <item x="380"/>
        <item x="48"/>
        <item x="2"/>
        <item x="246"/>
        <item x="311"/>
        <item x="276"/>
        <item x="164"/>
        <item x="436"/>
        <item x="55"/>
        <item x="423"/>
        <item x="298"/>
        <item x="421"/>
        <item x="117"/>
        <item x="295"/>
        <item x="302"/>
        <item x="116"/>
        <item x="128"/>
        <item x="343"/>
        <item x="193"/>
        <item x="297"/>
        <item x="371"/>
        <item x="392"/>
        <item x="179"/>
        <item x="64"/>
        <item x="170"/>
        <item x="16"/>
        <item x="125"/>
        <item x="185"/>
        <item x="218"/>
        <item x="147"/>
        <item x="242"/>
        <item x="409"/>
        <item x="174"/>
        <item x="266"/>
        <item x="289"/>
        <item x="184"/>
        <item x="130"/>
        <item x="372"/>
        <item x="15"/>
        <item x="3"/>
        <item x="368"/>
        <item x="262"/>
        <item x="44"/>
        <item x="269"/>
        <item x="4"/>
        <item x="437"/>
        <item x="101"/>
        <item x="197"/>
        <item x="204"/>
        <item x="288"/>
        <item x="408"/>
        <item x="79"/>
        <item x="431"/>
        <item x="229"/>
        <item x="251"/>
        <item x="71"/>
        <item x="379"/>
        <item x="178"/>
        <item x="425"/>
        <item x="400"/>
        <item x="46"/>
        <item x="315"/>
        <item x="255"/>
        <item x="272"/>
        <item x="325"/>
        <item x="351"/>
        <item x="330"/>
        <item x="291"/>
        <item x="307"/>
        <item x="188"/>
        <item x="328"/>
        <item x="244"/>
        <item x="98"/>
        <item x="72"/>
        <item x="94"/>
        <item x="1"/>
        <item x="106"/>
        <item x="39"/>
        <item x="245"/>
        <item x="143"/>
        <item x="158"/>
        <item x="150"/>
        <item x="31"/>
        <item x="33"/>
        <item x="253"/>
        <item x="313"/>
        <item x="414"/>
        <item x="361"/>
        <item x="370"/>
        <item x="18"/>
        <item x="207"/>
        <item x="152"/>
        <item x="338"/>
        <item x="111"/>
        <item x="76"/>
        <item x="264"/>
        <item x="329"/>
        <item x="102"/>
        <item x="393"/>
        <item x="14"/>
        <item x="223"/>
        <item x="358"/>
        <item x="407"/>
        <item x="341"/>
        <item x="12"/>
        <item x="314"/>
        <item x="399"/>
        <item x="132"/>
        <item x="97"/>
        <item x="417"/>
        <item x="385"/>
        <item x="107"/>
        <item x="93"/>
        <item x="383"/>
        <item x="89"/>
        <item x="306"/>
        <item x="247"/>
        <item x="135"/>
        <item x="54"/>
        <item x="404"/>
        <item x="410"/>
        <item x="268"/>
        <item x="280"/>
        <item x="176"/>
        <item x="160"/>
        <item x="86"/>
        <item x="335"/>
        <item x="173"/>
        <item x="49"/>
        <item x="292"/>
        <item x="257"/>
        <item x="213"/>
        <item x="99"/>
        <item x="172"/>
        <item x="121"/>
        <item x="252"/>
        <item x="148"/>
        <item x="374"/>
        <item x="259"/>
        <item x="212"/>
        <item x="448"/>
        <item x="194"/>
        <item x="413"/>
        <item x="29"/>
        <item x="401"/>
        <item x="47"/>
        <item x="208"/>
        <item x="120"/>
        <item x="56"/>
        <item x="162"/>
        <item x="181"/>
        <item x="222"/>
        <item x="112"/>
        <item x="209"/>
        <item x="284"/>
        <item x="350"/>
        <item x="11"/>
        <item x="136"/>
        <item x="304"/>
        <item x="58"/>
        <item x="231"/>
        <item x="438"/>
        <item x="41"/>
        <item x="206"/>
        <item x="124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numFmtId="2" showAll="0"/>
    <pivotField numFmtId="2"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 numFmtId="2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FFBE0-412D-4411-9E32-AF7E739FB2B1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Top 10 product">
  <location ref="Q3:R14" firstHeaderRow="1" firstDataRow="1" firstDataCol="1"/>
  <pivotFields count="24">
    <pivotField showAll="0"/>
    <pivotField showAll="0"/>
    <pivotField numFmtId="168" showAll="0">
      <items count="450">
        <item x="353"/>
        <item x="28"/>
        <item x="309"/>
        <item x="200"/>
        <item x="339"/>
        <item x="320"/>
        <item x="142"/>
        <item x="6"/>
        <item x="363"/>
        <item x="424"/>
        <item x="43"/>
        <item x="434"/>
        <item x="203"/>
        <item x="77"/>
        <item x="373"/>
        <item x="355"/>
        <item x="137"/>
        <item x="389"/>
        <item x="324"/>
        <item x="144"/>
        <item x="303"/>
        <item x="32"/>
        <item x="230"/>
        <item x="250"/>
        <item x="195"/>
        <item x="187"/>
        <item x="287"/>
        <item x="345"/>
        <item x="100"/>
        <item x="337"/>
        <item x="9"/>
        <item x="189"/>
        <item x="192"/>
        <item x="90"/>
        <item x="352"/>
        <item x="411"/>
        <item x="296"/>
        <item x="138"/>
        <item x="87"/>
        <item x="129"/>
        <item x="318"/>
        <item x="110"/>
        <item x="332"/>
        <item x="27"/>
        <item x="344"/>
        <item x="279"/>
        <item x="281"/>
        <item x="227"/>
        <item x="267"/>
        <item x="301"/>
        <item x="151"/>
        <item x="157"/>
        <item x="7"/>
        <item x="265"/>
        <item x="36"/>
        <item x="78"/>
        <item x="21"/>
        <item x="103"/>
        <item x="215"/>
        <item x="109"/>
        <item x="205"/>
        <item x="275"/>
        <item x="347"/>
        <item x="83"/>
        <item x="217"/>
        <item x="447"/>
        <item x="202"/>
        <item x="285"/>
        <item x="403"/>
        <item x="394"/>
        <item x="362"/>
        <item x="146"/>
        <item x="375"/>
        <item x="234"/>
        <item x="378"/>
        <item x="360"/>
        <item x="317"/>
        <item x="356"/>
        <item x="419"/>
        <item x="191"/>
        <item x="53"/>
        <item x="293"/>
        <item x="416"/>
        <item x="25"/>
        <item x="82"/>
        <item x="402"/>
        <item x="190"/>
        <item x="354"/>
        <item x="390"/>
        <item x="406"/>
        <item x="214"/>
        <item x="331"/>
        <item x="211"/>
        <item x="439"/>
        <item x="387"/>
        <item x="258"/>
        <item x="286"/>
        <item x="199"/>
        <item x="62"/>
        <item x="225"/>
        <item x="221"/>
        <item x="91"/>
        <item x="61"/>
        <item x="118"/>
        <item x="333"/>
        <item x="85"/>
        <item x="38"/>
        <item x="115"/>
        <item x="216"/>
        <item x="294"/>
        <item x="65"/>
        <item x="273"/>
        <item x="159"/>
        <item x="139"/>
        <item x="59"/>
        <item x="395"/>
        <item x="445"/>
        <item x="105"/>
        <item x="10"/>
        <item x="388"/>
        <item x="219"/>
        <item x="398"/>
        <item x="232"/>
        <item x="104"/>
        <item x="322"/>
        <item x="397"/>
        <item x="96"/>
        <item x="163"/>
        <item x="63"/>
        <item x="66"/>
        <item x="126"/>
        <item x="396"/>
        <item x="80"/>
        <item x="156"/>
        <item x="155"/>
        <item x="365"/>
        <item x="336"/>
        <item x="241"/>
        <item x="282"/>
        <item x="367"/>
        <item x="263"/>
        <item x="290"/>
        <item x="198"/>
        <item x="161"/>
        <item x="415"/>
        <item x="69"/>
        <item x="254"/>
        <item x="327"/>
        <item x="441"/>
        <item x="95"/>
        <item x="114"/>
        <item x="183"/>
        <item x="108"/>
        <item x="300"/>
        <item x="349"/>
        <item x="210"/>
        <item x="175"/>
        <item x="236"/>
        <item x="326"/>
        <item x="167"/>
        <item x="426"/>
        <item x="67"/>
        <item x="81"/>
        <item x="186"/>
        <item x="13"/>
        <item x="239"/>
        <item x="149"/>
        <item x="238"/>
        <item x="26"/>
        <item x="171"/>
        <item x="30"/>
        <item x="305"/>
        <item x="429"/>
        <item x="432"/>
        <item x="17"/>
        <item x="357"/>
        <item x="391"/>
        <item x="261"/>
        <item x="113"/>
        <item x="168"/>
        <item x="430"/>
        <item x="366"/>
        <item x="52"/>
        <item x="154"/>
        <item x="92"/>
        <item x="433"/>
        <item x="123"/>
        <item x="201"/>
        <item x="37"/>
        <item x="140"/>
        <item x="182"/>
        <item x="70"/>
        <item x="42"/>
        <item x="233"/>
        <item x="319"/>
        <item x="271"/>
        <item x="249"/>
        <item x="0"/>
        <item x="180"/>
        <item x="382"/>
        <item x="24"/>
        <item x="169"/>
        <item x="386"/>
        <item x="141"/>
        <item x="274"/>
        <item x="260"/>
        <item x="240"/>
        <item x="359"/>
        <item x="177"/>
        <item x="283"/>
        <item x="75"/>
        <item x="443"/>
        <item x="145"/>
        <item x="226"/>
        <item x="323"/>
        <item x="228"/>
        <item x="312"/>
        <item x="420"/>
        <item x="166"/>
        <item x="8"/>
        <item x="444"/>
        <item x="346"/>
        <item x="270"/>
        <item x="19"/>
        <item x="23"/>
        <item x="131"/>
        <item x="35"/>
        <item x="348"/>
        <item x="73"/>
        <item x="427"/>
        <item x="220"/>
        <item x="119"/>
        <item x="384"/>
        <item x="442"/>
        <item x="40"/>
        <item x="342"/>
        <item x="308"/>
        <item x="381"/>
        <item x="153"/>
        <item x="127"/>
        <item x="316"/>
        <item x="277"/>
        <item x="237"/>
        <item x="377"/>
        <item x="235"/>
        <item x="321"/>
        <item x="422"/>
        <item x="84"/>
        <item x="45"/>
        <item x="405"/>
        <item x="122"/>
        <item x="134"/>
        <item x="224"/>
        <item x="418"/>
        <item x="5"/>
        <item x="340"/>
        <item x="60"/>
        <item x="440"/>
        <item x="20"/>
        <item x="412"/>
        <item x="299"/>
        <item x="51"/>
        <item x="165"/>
        <item x="196"/>
        <item x="278"/>
        <item x="133"/>
        <item x="334"/>
        <item x="435"/>
        <item x="364"/>
        <item x="88"/>
        <item x="50"/>
        <item x="248"/>
        <item x="22"/>
        <item x="243"/>
        <item x="34"/>
        <item x="428"/>
        <item x="369"/>
        <item x="446"/>
        <item x="256"/>
        <item x="68"/>
        <item x="57"/>
        <item x="376"/>
        <item x="310"/>
        <item x="74"/>
        <item x="380"/>
        <item x="48"/>
        <item x="2"/>
        <item x="246"/>
        <item x="311"/>
        <item x="276"/>
        <item x="164"/>
        <item x="436"/>
        <item x="55"/>
        <item x="423"/>
        <item x="298"/>
        <item x="421"/>
        <item x="117"/>
        <item x="295"/>
        <item x="302"/>
        <item x="116"/>
        <item x="128"/>
        <item x="343"/>
        <item x="193"/>
        <item x="297"/>
        <item x="371"/>
        <item x="392"/>
        <item x="179"/>
        <item x="64"/>
        <item x="170"/>
        <item x="16"/>
        <item x="125"/>
        <item x="185"/>
        <item x="218"/>
        <item x="147"/>
        <item x="242"/>
        <item x="409"/>
        <item x="174"/>
        <item x="266"/>
        <item x="289"/>
        <item x="184"/>
        <item x="130"/>
        <item x="372"/>
        <item x="15"/>
        <item x="3"/>
        <item x="368"/>
        <item x="262"/>
        <item x="44"/>
        <item x="269"/>
        <item x="4"/>
        <item x="437"/>
        <item x="101"/>
        <item x="197"/>
        <item x="204"/>
        <item x="288"/>
        <item x="408"/>
        <item x="79"/>
        <item x="431"/>
        <item x="229"/>
        <item x="251"/>
        <item x="71"/>
        <item x="379"/>
        <item x="178"/>
        <item x="425"/>
        <item x="400"/>
        <item x="46"/>
        <item x="315"/>
        <item x="255"/>
        <item x="272"/>
        <item x="325"/>
        <item x="351"/>
        <item x="330"/>
        <item x="291"/>
        <item x="307"/>
        <item x="188"/>
        <item x="328"/>
        <item x="244"/>
        <item x="98"/>
        <item x="72"/>
        <item x="94"/>
        <item x="1"/>
        <item x="106"/>
        <item x="39"/>
        <item x="245"/>
        <item x="143"/>
        <item x="158"/>
        <item x="150"/>
        <item x="31"/>
        <item x="33"/>
        <item x="253"/>
        <item x="313"/>
        <item x="414"/>
        <item x="361"/>
        <item x="370"/>
        <item x="18"/>
        <item x="207"/>
        <item x="152"/>
        <item x="338"/>
        <item x="111"/>
        <item x="76"/>
        <item x="264"/>
        <item x="329"/>
        <item x="102"/>
        <item x="393"/>
        <item x="14"/>
        <item x="223"/>
        <item x="358"/>
        <item x="407"/>
        <item x="341"/>
        <item x="12"/>
        <item x="314"/>
        <item x="399"/>
        <item x="132"/>
        <item x="97"/>
        <item x="417"/>
        <item x="385"/>
        <item x="107"/>
        <item x="93"/>
        <item x="383"/>
        <item x="89"/>
        <item x="306"/>
        <item x="247"/>
        <item x="135"/>
        <item x="54"/>
        <item x="404"/>
        <item x="410"/>
        <item x="268"/>
        <item x="280"/>
        <item x="176"/>
        <item x="160"/>
        <item x="86"/>
        <item x="335"/>
        <item x="173"/>
        <item x="49"/>
        <item x="292"/>
        <item x="257"/>
        <item x="213"/>
        <item x="99"/>
        <item x="172"/>
        <item x="121"/>
        <item x="252"/>
        <item x="148"/>
        <item x="374"/>
        <item x="259"/>
        <item x="212"/>
        <item x="448"/>
        <item x="194"/>
        <item x="413"/>
        <item x="29"/>
        <item x="401"/>
        <item x="47"/>
        <item x="208"/>
        <item x="120"/>
        <item x="56"/>
        <item x="162"/>
        <item x="181"/>
        <item x="222"/>
        <item x="112"/>
        <item x="209"/>
        <item x="284"/>
        <item x="350"/>
        <item x="11"/>
        <item x="136"/>
        <item x="304"/>
        <item x="58"/>
        <item x="231"/>
        <item x="438"/>
        <item x="41"/>
        <item x="206"/>
        <item x="124"/>
        <item t="default"/>
      </items>
    </pivotField>
    <pivotField showAll="0"/>
    <pivotField showAll="0"/>
    <pivotField dataField="1" numFmtId="2" showAll="0"/>
    <pivotField numFmtId="2"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 measureFilter="1">
      <items count="554">
        <item x="451"/>
        <item x="48"/>
        <item x="483"/>
        <item x="548"/>
        <item x="301"/>
        <item x="43"/>
        <item x="259"/>
        <item x="27"/>
        <item x="359"/>
        <item x="170"/>
        <item x="143"/>
        <item x="98"/>
        <item x="462"/>
        <item x="198"/>
        <item x="291"/>
        <item x="30"/>
        <item x="459"/>
        <item x="409"/>
        <item x="327"/>
        <item x="28"/>
        <item x="164"/>
        <item x="336"/>
        <item x="4"/>
        <item x="352"/>
        <item x="282"/>
        <item x="321"/>
        <item x="355"/>
        <item x="501"/>
        <item x="366"/>
        <item x="242"/>
        <item x="467"/>
        <item x="141"/>
        <item x="121"/>
        <item x="226"/>
        <item x="37"/>
        <item x="304"/>
        <item x="546"/>
        <item x="182"/>
        <item x="386"/>
        <item x="249"/>
        <item x="544"/>
        <item x="237"/>
        <item x="416"/>
        <item x="452"/>
        <item x="257"/>
        <item x="148"/>
        <item x="168"/>
        <item x="424"/>
        <item x="414"/>
        <item x="20"/>
        <item x="339"/>
        <item x="64"/>
        <item x="509"/>
        <item x="433"/>
        <item x="342"/>
        <item x="309"/>
        <item x="547"/>
        <item x="130"/>
        <item x="7"/>
        <item x="312"/>
        <item x="58"/>
        <item x="493"/>
        <item x="229"/>
        <item x="481"/>
        <item x="253"/>
        <item x="498"/>
        <item x="368"/>
        <item x="446"/>
        <item x="54"/>
        <item x="167"/>
        <item x="268"/>
        <item x="317"/>
        <item x="195"/>
        <item x="453"/>
        <item x="10"/>
        <item x="41"/>
        <item x="197"/>
        <item x="233"/>
        <item x="373"/>
        <item x="331"/>
        <item x="396"/>
        <item x="322"/>
        <item x="209"/>
        <item x="510"/>
        <item x="503"/>
        <item x="94"/>
        <item x="234"/>
        <item x="82"/>
        <item x="413"/>
        <item x="545"/>
        <item x="67"/>
        <item x="111"/>
        <item x="220"/>
        <item x="187"/>
        <item x="541"/>
        <item x="469"/>
        <item x="86"/>
        <item x="69"/>
        <item x="531"/>
        <item x="75"/>
        <item x="124"/>
        <item x="404"/>
        <item x="108"/>
        <item x="522"/>
        <item x="238"/>
        <item x="442"/>
        <item x="326"/>
        <item x="387"/>
        <item x="50"/>
        <item x="448"/>
        <item x="299"/>
        <item x="88"/>
        <item x="68"/>
        <item x="454"/>
        <item x="235"/>
        <item x="482"/>
        <item x="139"/>
        <item x="135"/>
        <item x="13"/>
        <item x="532"/>
        <item x="39"/>
        <item x="417"/>
        <item x="374"/>
        <item x="419"/>
        <item x="173"/>
        <item x="155"/>
        <item x="380"/>
        <item x="72"/>
        <item x="407"/>
        <item x="392"/>
        <item x="24"/>
        <item x="389"/>
        <item x="518"/>
        <item x="263"/>
        <item x="478"/>
        <item x="415"/>
        <item x="471"/>
        <item x="223"/>
        <item x="40"/>
        <item x="403"/>
        <item x="489"/>
        <item x="356"/>
        <item x="361"/>
        <item x="178"/>
        <item x="295"/>
        <item x="181"/>
        <item x="120"/>
        <item x="394"/>
        <item x="476"/>
        <item x="349"/>
        <item x="12"/>
        <item x="388"/>
        <item x="126"/>
        <item x="530"/>
        <item x="307"/>
        <item x="191"/>
        <item x="444"/>
        <item x="244"/>
        <item x="179"/>
        <item x="513"/>
        <item x="269"/>
        <item x="246"/>
        <item x="264"/>
        <item x="273"/>
        <item x="529"/>
        <item x="319"/>
        <item x="543"/>
        <item x="251"/>
        <item x="410"/>
        <item x="340"/>
        <item x="550"/>
        <item x="78"/>
        <item x="92"/>
        <item x="353"/>
        <item x="90"/>
        <item x="325"/>
        <item x="258"/>
        <item x="521"/>
        <item x="122"/>
        <item x="313"/>
        <item x="219"/>
        <item x="3"/>
        <item x="19"/>
        <item x="154"/>
        <item x="420"/>
        <item x="323"/>
        <item x="176"/>
        <item x="35"/>
        <item x="227"/>
        <item x="358"/>
        <item x="117"/>
        <item x="0"/>
        <item x="265"/>
        <item x="303"/>
        <item x="183"/>
        <item x="83"/>
        <item x="172"/>
        <item x="175"/>
        <item x="138"/>
        <item x="314"/>
        <item x="262"/>
        <item x="456"/>
        <item x="17"/>
        <item x="468"/>
        <item x="505"/>
        <item x="247"/>
        <item x="21"/>
        <item x="372"/>
        <item x="222"/>
        <item x="542"/>
        <item x="162"/>
        <item x="378"/>
        <item x="427"/>
        <item x="345"/>
        <item x="153"/>
        <item x="125"/>
        <item x="276"/>
        <item x="270"/>
        <item x="283"/>
        <item x="113"/>
        <item x="527"/>
        <item x="77"/>
        <item x="347"/>
        <item x="536"/>
        <item x="475"/>
        <item x="324"/>
        <item x="208"/>
        <item x="480"/>
        <item x="31"/>
        <item x="99"/>
        <item x="184"/>
        <item x="515"/>
        <item x="287"/>
        <item x="500"/>
        <item x="447"/>
        <item x="200"/>
        <item x="194"/>
        <item x="119"/>
        <item x="63"/>
        <item x="127"/>
        <item x="315"/>
        <item x="275"/>
        <item x="357"/>
        <item x="133"/>
        <item x="81"/>
        <item x="142"/>
        <item x="383"/>
        <item x="371"/>
        <item x="147"/>
        <item x="84"/>
        <item x="93"/>
        <item x="535"/>
        <item x="406"/>
        <item x="350"/>
        <item x="189"/>
        <item x="385"/>
        <item x="485"/>
        <item x="95"/>
        <item x="318"/>
        <item x="492"/>
        <item x="463"/>
        <item x="243"/>
        <item x="52"/>
        <item x="460"/>
        <item x="363"/>
        <item x="370"/>
        <item x="288"/>
        <item x="136"/>
        <item x="477"/>
        <item x="169"/>
        <item x="107"/>
        <item x="211"/>
        <item x="395"/>
        <item x="151"/>
        <item x="42"/>
        <item x="161"/>
        <item x="474"/>
        <item x="422"/>
        <item x="44"/>
        <item x="70"/>
        <item x="472"/>
        <item x="53"/>
        <item x="110"/>
        <item x="186"/>
        <item x="305"/>
        <item x="494"/>
        <item x="62"/>
        <item x="105"/>
        <item x="160"/>
        <item x="149"/>
        <item x="302"/>
        <item x="156"/>
        <item x="100"/>
        <item x="201"/>
        <item x="549"/>
        <item x="487"/>
        <item x="393"/>
        <item x="74"/>
        <item x="166"/>
        <item x="25"/>
        <item x="212"/>
        <item x="506"/>
        <item x="508"/>
        <item x="279"/>
        <item x="308"/>
        <item x="16"/>
        <item x="190"/>
        <item x="32"/>
        <item x="174"/>
        <item x="399"/>
        <item x="157"/>
        <item x="225"/>
        <item x="216"/>
        <item x="261"/>
        <item x="338"/>
        <item x="434"/>
        <item x="310"/>
        <item x="15"/>
        <item x="101"/>
        <item x="165"/>
        <item x="289"/>
        <item x="343"/>
        <item x="144"/>
        <item x="285"/>
        <item x="450"/>
        <item x="316"/>
        <item x="206"/>
        <item x="87"/>
        <item x="523"/>
        <item x="397"/>
        <item x="354"/>
        <item x="538"/>
        <item x="1"/>
        <item x="207"/>
        <item x="533"/>
        <item x="292"/>
        <item x="332"/>
        <item x="437"/>
        <item x="405"/>
        <item x="51"/>
        <item x="360"/>
        <item x="85"/>
        <item x="240"/>
        <item x="486"/>
        <item x="435"/>
        <item x="430"/>
        <item x="330"/>
        <item x="18"/>
        <item x="277"/>
        <item x="381"/>
        <item x="441"/>
        <item x="260"/>
        <item x="239"/>
        <item x="109"/>
        <item x="114"/>
        <item x="458"/>
        <item x="159"/>
        <item x="89"/>
        <item x="104"/>
        <item x="298"/>
        <item x="402"/>
        <item x="224"/>
        <item x="217"/>
        <item x="348"/>
        <item x="516"/>
        <item x="22"/>
        <item x="215"/>
        <item x="66"/>
        <item x="443"/>
        <item x="134"/>
        <item x="245"/>
        <item x="436"/>
        <item x="6"/>
        <item x="294"/>
        <item x="376"/>
        <item x="23"/>
        <item x="59"/>
        <item x="228"/>
        <item x="284"/>
        <item x="213"/>
        <item x="180"/>
        <item x="495"/>
        <item x="97"/>
        <item x="491"/>
        <item x="398"/>
        <item x="382"/>
        <item x="177"/>
        <item x="38"/>
        <item x="421"/>
        <item x="524"/>
        <item x="115"/>
        <item x="60"/>
        <item x="364"/>
        <item x="210"/>
        <item x="46"/>
        <item x="445"/>
        <item x="552"/>
        <item x="286"/>
        <item x="390"/>
        <item x="131"/>
        <item x="241"/>
        <item x="329"/>
        <item x="146"/>
        <item x="517"/>
        <item x="418"/>
        <item x="274"/>
        <item x="439"/>
        <item x="428"/>
        <item x="36"/>
        <item x="334"/>
        <item x="49"/>
        <item x="432"/>
        <item x="137"/>
        <item x="29"/>
        <item x="250"/>
        <item x="196"/>
        <item x="76"/>
        <item x="438"/>
        <item x="123"/>
        <item x="150"/>
        <item x="61"/>
        <item x="14"/>
        <item x="300"/>
        <item x="534"/>
        <item x="272"/>
        <item x="255"/>
        <item x="145"/>
        <item x="296"/>
        <item x="202"/>
        <item x="158"/>
        <item x="280"/>
        <item x="502"/>
        <item x="128"/>
        <item x="9"/>
        <item x="192"/>
        <item x="252"/>
        <item x="512"/>
        <item x="384"/>
        <item x="320"/>
        <item x="449"/>
        <item x="412"/>
        <item x="96"/>
        <item x="232"/>
        <item x="465"/>
        <item x="551"/>
        <item x="369"/>
        <item x="497"/>
        <item x="499"/>
        <item x="461"/>
        <item x="511"/>
        <item x="346"/>
        <item x="271"/>
        <item x="47"/>
        <item x="457"/>
        <item x="484"/>
        <item x="344"/>
        <item x="528"/>
        <item x="33"/>
        <item x="379"/>
        <item x="411"/>
        <item x="297"/>
        <item x="204"/>
        <item x="365"/>
        <item x="377"/>
        <item x="470"/>
        <item x="479"/>
        <item x="231"/>
        <item x="519"/>
        <item x="254"/>
        <item x="140"/>
        <item x="8"/>
        <item x="102"/>
        <item x="132"/>
        <item x="73"/>
        <item x="193"/>
        <item x="129"/>
        <item x="205"/>
        <item x="507"/>
        <item x="375"/>
        <item x="2"/>
        <item x="163"/>
        <item x="440"/>
        <item x="431"/>
        <item x="400"/>
        <item x="401"/>
        <item x="540"/>
        <item x="391"/>
        <item x="341"/>
        <item x="496"/>
        <item x="362"/>
        <item x="281"/>
        <item x="306"/>
        <item x="514"/>
        <item x="426"/>
        <item x="5"/>
        <item x="464"/>
        <item x="103"/>
        <item x="34"/>
        <item x="488"/>
        <item x="199"/>
        <item x="91"/>
        <item x="293"/>
        <item x="537"/>
        <item x="337"/>
        <item x="116"/>
        <item x="152"/>
        <item x="278"/>
        <item x="118"/>
        <item x="290"/>
        <item x="520"/>
        <item x="333"/>
        <item x="248"/>
        <item x="525"/>
        <item x="171"/>
        <item x="539"/>
        <item x="311"/>
        <item x="185"/>
        <item x="45"/>
        <item x="203"/>
        <item x="367"/>
        <item x="55"/>
        <item x="236"/>
        <item x="57"/>
        <item x="188"/>
        <item x="425"/>
        <item x="351"/>
        <item x="106"/>
        <item x="408"/>
        <item x="267"/>
        <item x="71"/>
        <item x="56"/>
        <item x="504"/>
        <item x="423"/>
        <item x="335"/>
        <item x="80"/>
        <item x="473"/>
        <item x="65"/>
        <item x="79"/>
        <item x="112"/>
        <item x="26"/>
        <item x="466"/>
        <item x="526"/>
        <item x="256"/>
        <item x="328"/>
        <item x="218"/>
        <item x="214"/>
        <item x="266"/>
        <item x="455"/>
        <item x="11"/>
        <item x="221"/>
        <item x="490"/>
        <item x="429"/>
        <item x="230"/>
        <item t="default"/>
      </items>
    </pivotField>
    <pivotField showAll="0"/>
    <pivotField showAll="0"/>
    <pivotField numFmtId="1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7"/>
  </rowFields>
  <rowItems count="11">
    <i>
      <x v="140"/>
    </i>
    <i>
      <x v="152"/>
    </i>
    <i>
      <x v="178"/>
    </i>
    <i>
      <x v="210"/>
    </i>
    <i>
      <x v="269"/>
    </i>
    <i>
      <x v="278"/>
    </i>
    <i>
      <x v="309"/>
    </i>
    <i>
      <x v="384"/>
    </i>
    <i>
      <x v="386"/>
    </i>
    <i>
      <x v="403"/>
    </i>
    <i t="grand">
      <x/>
    </i>
  </rowItems>
  <colItems count="1">
    <i/>
  </colItems>
  <dataFields count="1">
    <dataField name="Sum of Sales" fld="5" baseField="0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2D4C6-9D98-4AB4-92EB-DA22570CEEB8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ustomer Name">
  <location ref="M3:N8" firstHeaderRow="1" firstDataRow="1" firstDataCol="1"/>
  <pivotFields count="24">
    <pivotField showAll="0"/>
    <pivotField showAll="0"/>
    <pivotField numFmtId="168" showAll="0">
      <items count="450">
        <item x="353"/>
        <item x="28"/>
        <item x="309"/>
        <item x="200"/>
        <item x="339"/>
        <item x="320"/>
        <item x="142"/>
        <item x="6"/>
        <item x="363"/>
        <item x="424"/>
        <item x="43"/>
        <item x="434"/>
        <item x="203"/>
        <item x="77"/>
        <item x="373"/>
        <item x="355"/>
        <item x="137"/>
        <item x="389"/>
        <item x="324"/>
        <item x="144"/>
        <item x="303"/>
        <item x="32"/>
        <item x="230"/>
        <item x="250"/>
        <item x="195"/>
        <item x="187"/>
        <item x="287"/>
        <item x="345"/>
        <item x="100"/>
        <item x="337"/>
        <item x="9"/>
        <item x="189"/>
        <item x="192"/>
        <item x="90"/>
        <item x="352"/>
        <item x="411"/>
        <item x="296"/>
        <item x="138"/>
        <item x="87"/>
        <item x="129"/>
        <item x="318"/>
        <item x="110"/>
        <item x="332"/>
        <item x="27"/>
        <item x="344"/>
        <item x="279"/>
        <item x="281"/>
        <item x="227"/>
        <item x="267"/>
        <item x="301"/>
        <item x="151"/>
        <item x="157"/>
        <item x="7"/>
        <item x="265"/>
        <item x="36"/>
        <item x="78"/>
        <item x="21"/>
        <item x="103"/>
        <item x="215"/>
        <item x="109"/>
        <item x="205"/>
        <item x="275"/>
        <item x="347"/>
        <item x="83"/>
        <item x="217"/>
        <item x="447"/>
        <item x="202"/>
        <item x="285"/>
        <item x="403"/>
        <item x="394"/>
        <item x="362"/>
        <item x="146"/>
        <item x="375"/>
        <item x="234"/>
        <item x="378"/>
        <item x="360"/>
        <item x="317"/>
        <item x="356"/>
        <item x="419"/>
        <item x="191"/>
        <item x="53"/>
        <item x="293"/>
        <item x="416"/>
        <item x="25"/>
        <item x="82"/>
        <item x="402"/>
        <item x="190"/>
        <item x="354"/>
        <item x="390"/>
        <item x="406"/>
        <item x="214"/>
        <item x="331"/>
        <item x="211"/>
        <item x="439"/>
        <item x="387"/>
        <item x="258"/>
        <item x="286"/>
        <item x="199"/>
        <item x="62"/>
        <item x="225"/>
        <item x="221"/>
        <item x="91"/>
        <item x="61"/>
        <item x="118"/>
        <item x="333"/>
        <item x="85"/>
        <item x="38"/>
        <item x="115"/>
        <item x="216"/>
        <item x="294"/>
        <item x="65"/>
        <item x="273"/>
        <item x="159"/>
        <item x="139"/>
        <item x="59"/>
        <item x="395"/>
        <item x="445"/>
        <item x="105"/>
        <item x="10"/>
        <item x="388"/>
        <item x="219"/>
        <item x="398"/>
        <item x="232"/>
        <item x="104"/>
        <item x="322"/>
        <item x="397"/>
        <item x="96"/>
        <item x="163"/>
        <item x="63"/>
        <item x="66"/>
        <item x="126"/>
        <item x="396"/>
        <item x="80"/>
        <item x="156"/>
        <item x="155"/>
        <item x="365"/>
        <item x="336"/>
        <item x="241"/>
        <item x="282"/>
        <item x="367"/>
        <item x="263"/>
        <item x="290"/>
        <item x="198"/>
        <item x="161"/>
        <item x="415"/>
        <item x="69"/>
        <item x="254"/>
        <item x="327"/>
        <item x="441"/>
        <item x="95"/>
        <item x="114"/>
        <item x="183"/>
        <item x="108"/>
        <item x="300"/>
        <item x="349"/>
        <item x="210"/>
        <item x="175"/>
        <item x="236"/>
        <item x="326"/>
        <item x="167"/>
        <item x="426"/>
        <item x="67"/>
        <item x="81"/>
        <item x="186"/>
        <item x="13"/>
        <item x="239"/>
        <item x="149"/>
        <item x="238"/>
        <item x="26"/>
        <item x="171"/>
        <item x="30"/>
        <item x="305"/>
        <item x="429"/>
        <item x="432"/>
        <item x="17"/>
        <item x="357"/>
        <item x="391"/>
        <item x="261"/>
        <item x="113"/>
        <item x="168"/>
        <item x="430"/>
        <item x="366"/>
        <item x="52"/>
        <item x="154"/>
        <item x="92"/>
        <item x="433"/>
        <item x="123"/>
        <item x="201"/>
        <item x="37"/>
        <item x="140"/>
        <item x="182"/>
        <item x="70"/>
        <item x="42"/>
        <item x="233"/>
        <item x="319"/>
        <item x="271"/>
        <item x="249"/>
        <item x="0"/>
        <item x="180"/>
        <item x="382"/>
        <item x="24"/>
        <item x="169"/>
        <item x="386"/>
        <item x="141"/>
        <item x="274"/>
        <item x="260"/>
        <item x="240"/>
        <item x="359"/>
        <item x="177"/>
        <item x="283"/>
        <item x="75"/>
        <item x="443"/>
        <item x="145"/>
        <item x="226"/>
        <item x="323"/>
        <item x="228"/>
        <item x="312"/>
        <item x="420"/>
        <item x="166"/>
        <item x="8"/>
        <item x="444"/>
        <item x="346"/>
        <item x="270"/>
        <item x="19"/>
        <item x="23"/>
        <item x="131"/>
        <item x="35"/>
        <item x="348"/>
        <item x="73"/>
        <item x="427"/>
        <item x="220"/>
        <item x="119"/>
        <item x="384"/>
        <item x="442"/>
        <item x="40"/>
        <item x="342"/>
        <item x="308"/>
        <item x="381"/>
        <item x="153"/>
        <item x="127"/>
        <item x="316"/>
        <item x="277"/>
        <item x="237"/>
        <item x="377"/>
        <item x="235"/>
        <item x="321"/>
        <item x="422"/>
        <item x="84"/>
        <item x="45"/>
        <item x="405"/>
        <item x="122"/>
        <item x="134"/>
        <item x="224"/>
        <item x="418"/>
        <item x="5"/>
        <item x="340"/>
        <item x="60"/>
        <item x="440"/>
        <item x="20"/>
        <item x="412"/>
        <item x="299"/>
        <item x="51"/>
        <item x="165"/>
        <item x="196"/>
        <item x="278"/>
        <item x="133"/>
        <item x="334"/>
        <item x="435"/>
        <item x="364"/>
        <item x="88"/>
        <item x="50"/>
        <item x="248"/>
        <item x="22"/>
        <item x="243"/>
        <item x="34"/>
        <item x="428"/>
        <item x="369"/>
        <item x="446"/>
        <item x="256"/>
        <item x="68"/>
        <item x="57"/>
        <item x="376"/>
        <item x="310"/>
        <item x="74"/>
        <item x="380"/>
        <item x="48"/>
        <item x="2"/>
        <item x="246"/>
        <item x="311"/>
        <item x="276"/>
        <item x="164"/>
        <item x="436"/>
        <item x="55"/>
        <item x="423"/>
        <item x="298"/>
        <item x="421"/>
        <item x="117"/>
        <item x="295"/>
        <item x="302"/>
        <item x="116"/>
        <item x="128"/>
        <item x="343"/>
        <item x="193"/>
        <item x="297"/>
        <item x="371"/>
        <item x="392"/>
        <item x="179"/>
        <item x="64"/>
        <item x="170"/>
        <item x="16"/>
        <item x="125"/>
        <item x="185"/>
        <item x="218"/>
        <item x="147"/>
        <item x="242"/>
        <item x="409"/>
        <item x="174"/>
        <item x="266"/>
        <item x="289"/>
        <item x="184"/>
        <item x="130"/>
        <item x="372"/>
        <item x="15"/>
        <item x="3"/>
        <item x="368"/>
        <item x="262"/>
        <item x="44"/>
        <item x="269"/>
        <item x="4"/>
        <item x="437"/>
        <item x="101"/>
        <item x="197"/>
        <item x="204"/>
        <item x="288"/>
        <item x="408"/>
        <item x="79"/>
        <item x="431"/>
        <item x="229"/>
        <item x="251"/>
        <item x="71"/>
        <item x="379"/>
        <item x="178"/>
        <item x="425"/>
        <item x="400"/>
        <item x="46"/>
        <item x="315"/>
        <item x="255"/>
        <item x="272"/>
        <item x="325"/>
        <item x="351"/>
        <item x="330"/>
        <item x="291"/>
        <item x="307"/>
        <item x="188"/>
        <item x="328"/>
        <item x="244"/>
        <item x="98"/>
        <item x="72"/>
        <item x="94"/>
        <item x="1"/>
        <item x="106"/>
        <item x="39"/>
        <item x="245"/>
        <item x="143"/>
        <item x="158"/>
        <item x="150"/>
        <item x="31"/>
        <item x="33"/>
        <item x="253"/>
        <item x="313"/>
        <item x="414"/>
        <item x="361"/>
        <item x="370"/>
        <item x="18"/>
        <item x="207"/>
        <item x="152"/>
        <item x="338"/>
        <item x="111"/>
        <item x="76"/>
        <item x="264"/>
        <item x="329"/>
        <item x="102"/>
        <item x="393"/>
        <item x="14"/>
        <item x="223"/>
        <item x="358"/>
        <item x="407"/>
        <item x="341"/>
        <item x="12"/>
        <item x="314"/>
        <item x="399"/>
        <item x="132"/>
        <item x="97"/>
        <item x="417"/>
        <item x="385"/>
        <item x="107"/>
        <item x="93"/>
        <item x="383"/>
        <item x="89"/>
        <item x="306"/>
        <item x="247"/>
        <item x="135"/>
        <item x="54"/>
        <item x="404"/>
        <item x="410"/>
        <item x="268"/>
        <item x="280"/>
        <item x="176"/>
        <item x="160"/>
        <item x="86"/>
        <item x="335"/>
        <item x="173"/>
        <item x="49"/>
        <item x="292"/>
        <item x="257"/>
        <item x="213"/>
        <item x="99"/>
        <item x="172"/>
        <item x="121"/>
        <item x="252"/>
        <item x="148"/>
        <item x="374"/>
        <item x="259"/>
        <item x="212"/>
        <item x="448"/>
        <item x="194"/>
        <item x="413"/>
        <item x="29"/>
        <item x="401"/>
        <item x="47"/>
        <item x="208"/>
        <item x="120"/>
        <item x="56"/>
        <item x="162"/>
        <item x="181"/>
        <item x="222"/>
        <item x="112"/>
        <item x="209"/>
        <item x="284"/>
        <item x="350"/>
        <item x="11"/>
        <item x="136"/>
        <item x="304"/>
        <item x="58"/>
        <item x="231"/>
        <item x="438"/>
        <item x="41"/>
        <item x="206"/>
        <item x="124"/>
        <item t="default"/>
      </items>
    </pivotField>
    <pivotField showAll="0"/>
    <pivotField showAll="0"/>
    <pivotField numFmtId="2" showAll="0">
      <items count="554">
        <item x="491"/>
        <item x="1"/>
        <item x="317"/>
        <item x="484"/>
        <item x="220"/>
        <item x="411"/>
        <item x="294"/>
        <item x="111"/>
        <item x="268"/>
        <item x="41"/>
        <item x="131"/>
        <item x="452"/>
        <item x="446"/>
        <item x="81"/>
        <item x="368"/>
        <item x="539"/>
        <item x="350"/>
        <item x="234"/>
        <item x="191"/>
        <item x="522"/>
        <item x="500"/>
        <item x="69"/>
        <item x="151"/>
        <item x="369"/>
        <item x="371"/>
        <item x="195"/>
        <item x="11"/>
        <item x="198"/>
        <item x="462"/>
        <item x="293"/>
        <item x="287"/>
        <item x="118"/>
        <item x="230"/>
        <item x="45"/>
        <item x="172"/>
        <item x="75"/>
        <item x="473"/>
        <item x="167"/>
        <item x="146"/>
        <item x="110"/>
        <item x="36"/>
        <item x="427"/>
        <item x="197"/>
        <item x="545"/>
        <item x="306"/>
        <item x="308"/>
        <item x="501"/>
        <item x="510"/>
        <item x="80"/>
        <item x="520"/>
        <item x="341"/>
        <item x="76"/>
        <item x="328"/>
        <item x="194"/>
        <item x="82"/>
        <item x="443"/>
        <item x="331"/>
        <item x="170"/>
        <item x="282"/>
        <item x="145"/>
        <item x="453"/>
        <item x="55"/>
        <item x="529"/>
        <item x="252"/>
        <item x="384"/>
        <item x="66"/>
        <item x="10"/>
        <item x="340"/>
        <item x="254"/>
        <item x="187"/>
        <item x="257"/>
        <item x="296"/>
        <item x="403"/>
        <item x="91"/>
        <item x="134"/>
        <item x="455"/>
        <item x="174"/>
        <item x="512"/>
        <item x="193"/>
        <item x="541"/>
        <item x="176"/>
        <item x="71"/>
        <item x="121"/>
        <item x="344"/>
        <item x="8"/>
        <item x="96"/>
        <item x="58"/>
        <item x="218"/>
        <item x="488"/>
        <item x="219"/>
        <item x="513"/>
        <item x="83"/>
        <item x="291"/>
        <item x="531"/>
        <item x="168"/>
        <item x="33"/>
        <item x="6"/>
        <item x="182"/>
        <item x="433"/>
        <item x="378"/>
        <item x="357"/>
        <item x="312"/>
        <item x="528"/>
        <item x="163"/>
        <item x="449"/>
        <item x="285"/>
        <item x="15"/>
        <item x="74"/>
        <item x="22"/>
        <item x="286"/>
        <item x="439"/>
        <item x="107"/>
        <item x="54"/>
        <item x="309"/>
        <item x="526"/>
        <item x="97"/>
        <item x="152"/>
        <item x="137"/>
        <item x="334"/>
        <item x="424"/>
        <item x="229"/>
        <item x="249"/>
        <item x="28"/>
        <item x="161"/>
        <item x="450"/>
        <item x="313"/>
        <item x="547"/>
        <item x="231"/>
        <item x="519"/>
        <item x="395"/>
        <item x="199"/>
        <item x="497"/>
        <item x="457"/>
        <item x="390"/>
        <item x="241"/>
        <item x="233"/>
        <item x="26"/>
        <item x="327"/>
        <item x="507"/>
        <item x="414"/>
        <item x="185"/>
        <item x="493"/>
        <item x="436"/>
        <item x="232"/>
        <item x="410"/>
        <item x="67"/>
        <item x="140"/>
        <item x="388"/>
        <item x="290"/>
        <item x="394"/>
        <item x="346"/>
        <item x="550"/>
        <item x="358"/>
        <item x="396"/>
        <item x="64"/>
        <item x="17"/>
        <item x="404"/>
        <item x="256"/>
        <item x="274"/>
        <item x="468"/>
        <item x="237"/>
        <item x="540"/>
        <item x="148"/>
        <item x="21"/>
        <item x="175"/>
        <item x="166"/>
        <item x="355"/>
        <item x="466"/>
        <item x="266"/>
        <item x="345"/>
        <item x="544"/>
        <item x="29"/>
        <item x="209"/>
        <item x="13"/>
        <item x="157"/>
        <item x="516"/>
        <item x="79"/>
        <item x="214"/>
        <item x="78"/>
        <item x="335"/>
        <item x="154"/>
        <item x="245"/>
        <item x="330"/>
        <item x="329"/>
        <item x="50"/>
        <item x="496"/>
        <item x="236"/>
        <item x="165"/>
        <item x="273"/>
        <item x="336"/>
        <item x="35"/>
        <item x="434"/>
        <item x="503"/>
        <item x="408"/>
        <item x="263"/>
        <item x="486"/>
        <item x="423"/>
        <item x="89"/>
        <item x="65"/>
        <item x="381"/>
        <item x="203"/>
        <item x="215"/>
        <item x="543"/>
        <item x="147"/>
        <item x="505"/>
        <item x="47"/>
        <item x="116"/>
        <item x="351"/>
        <item x="223"/>
        <item x="342"/>
        <item x="247"/>
        <item x="98"/>
        <item x="521"/>
        <item x="271"/>
        <item x="311"/>
        <item x="112"/>
        <item x="250"/>
        <item x="361"/>
        <item x="0"/>
        <item x="332"/>
        <item x="422"/>
        <item x="409"/>
        <item x="57"/>
        <item x="261"/>
        <item x="104"/>
        <item x="255"/>
        <item x="490"/>
        <item x="536"/>
        <item x="435"/>
        <item x="179"/>
        <item x="189"/>
        <item x="277"/>
        <item x="442"/>
        <item x="192"/>
        <item x="425"/>
        <item x="56"/>
        <item x="310"/>
        <item x="3"/>
        <item x="248"/>
        <item x="129"/>
        <item x="279"/>
        <item x="347"/>
        <item x="316"/>
        <item x="373"/>
        <item x="454"/>
        <item x="138"/>
        <item x="428"/>
        <item x="20"/>
        <item x="276"/>
        <item x="94"/>
        <item x="337"/>
        <item x="253"/>
        <item x="278"/>
        <item x="18"/>
        <item x="188"/>
        <item x="441"/>
        <item x="221"/>
        <item x="343"/>
        <item x="538"/>
        <item x="299"/>
        <item x="101"/>
        <item x="469"/>
        <item x="260"/>
        <item x="379"/>
        <item x="339"/>
        <item x="106"/>
        <item x="77"/>
        <item x="514"/>
        <item x="508"/>
        <item x="251"/>
        <item x="322"/>
        <item x="324"/>
        <item x="267"/>
        <item x="53"/>
        <item x="429"/>
        <item x="518"/>
        <item x="270"/>
        <item x="246"/>
        <item x="143"/>
        <item x="535"/>
        <item x="305"/>
        <item x="511"/>
        <item x="459"/>
        <item x="392"/>
        <item x="509"/>
        <item x="471"/>
        <item x="380"/>
        <item x="12"/>
        <item x="102"/>
        <item x="495"/>
        <item x="524"/>
        <item x="485"/>
        <item x="440"/>
        <item x="113"/>
        <item x="413"/>
        <item x="314"/>
        <item x="456"/>
        <item x="186"/>
        <item x="133"/>
        <item x="448"/>
        <item x="42"/>
        <item x="353"/>
        <item x="201"/>
        <item x="304"/>
        <item x="225"/>
        <item x="389"/>
        <item x="228"/>
        <item x="63"/>
        <item x="68"/>
        <item x="16"/>
        <item x="298"/>
        <item x="323"/>
        <item x="99"/>
        <item x="226"/>
        <item x="23"/>
        <item x="72"/>
        <item x="537"/>
        <item x="527"/>
        <item x="92"/>
        <item x="430"/>
        <item x="239"/>
        <item x="59"/>
        <item x="269"/>
        <item x="366"/>
        <item x="109"/>
        <item x="85"/>
        <item x="447"/>
        <item x="25"/>
        <item x="506"/>
        <item x="171"/>
        <item x="295"/>
        <item x="224"/>
        <item x="125"/>
        <item x="349"/>
        <item x="207"/>
        <item x="141"/>
        <item x="136"/>
        <item x="288"/>
        <item x="532"/>
        <item x="297"/>
        <item x="210"/>
        <item x="467"/>
        <item x="321"/>
        <item x="238"/>
        <item x="499"/>
        <item x="377"/>
        <item x="482"/>
        <item x="289"/>
        <item x="119"/>
        <item x="418"/>
        <item x="338"/>
        <item x="437"/>
        <item x="348"/>
        <item x="415"/>
        <item x="546"/>
        <item x="307"/>
        <item x="114"/>
        <item x="445"/>
        <item x="465"/>
        <item x="159"/>
        <item x="283"/>
        <item x="90"/>
        <item x="235"/>
        <item x="320"/>
        <item x="360"/>
        <item x="525"/>
        <item x="533"/>
        <item x="458"/>
        <item x="477"/>
        <item x="46"/>
        <item x="372"/>
        <item x="386"/>
        <item x="515"/>
        <item x="264"/>
        <item x="412"/>
        <item x="200"/>
        <item x="420"/>
        <item x="432"/>
        <item x="419"/>
        <item x="494"/>
        <item x="14"/>
        <item x="385"/>
        <item x="258"/>
        <item x="354"/>
        <item x="43"/>
        <item x="272"/>
        <item x="7"/>
        <item x="149"/>
        <item x="103"/>
        <item x="356"/>
        <item x="86"/>
        <item x="478"/>
        <item x="502"/>
        <item x="551"/>
        <item x="88"/>
        <item x="549"/>
        <item x="262"/>
        <item x="139"/>
        <item x="37"/>
        <item x="402"/>
        <item x="84"/>
        <item x="156"/>
        <item x="132"/>
        <item x="387"/>
        <item x="51"/>
        <item x="19"/>
        <item x="183"/>
        <item x="127"/>
        <item x="383"/>
        <item x="208"/>
        <item x="523"/>
        <item x="100"/>
        <item x="397"/>
        <item x="367"/>
        <item x="206"/>
        <item x="464"/>
        <item x="376"/>
        <item x="153"/>
        <item x="259"/>
        <item x="534"/>
        <item x="475"/>
        <item x="504"/>
        <item x="352"/>
        <item x="222"/>
        <item x="391"/>
        <item x="184"/>
        <item x="38"/>
        <item x="62"/>
        <item x="444"/>
        <item x="359"/>
        <item x="333"/>
        <item x="301"/>
        <item x="416"/>
        <item x="280"/>
        <item x="393"/>
        <item x="375"/>
        <item x="205"/>
        <item x="87"/>
        <item x="365"/>
        <item x="319"/>
        <item x="24"/>
        <item x="401"/>
        <item x="431"/>
        <item x="144"/>
        <item x="204"/>
        <item x="242"/>
        <item x="73"/>
        <item x="128"/>
        <item x="135"/>
        <item x="240"/>
        <item x="483"/>
        <item x="480"/>
        <item x="479"/>
        <item x="315"/>
        <item x="548"/>
        <item x="362"/>
        <item x="281"/>
        <item x="407"/>
        <item x="244"/>
        <item x="155"/>
        <item x="461"/>
        <item x="470"/>
        <item x="120"/>
        <item x="4"/>
        <item x="32"/>
        <item x="405"/>
        <item x="421"/>
        <item x="61"/>
        <item x="2"/>
        <item x="303"/>
        <item x="284"/>
        <item x="181"/>
        <item x="438"/>
        <item x="265"/>
        <item x="476"/>
        <item x="164"/>
        <item x="108"/>
        <item x="227"/>
        <item x="382"/>
        <item x="460"/>
        <item x="190"/>
        <item x="406"/>
        <item x="400"/>
        <item x="39"/>
        <item x="5"/>
        <item x="211"/>
        <item x="34"/>
        <item x="213"/>
        <item x="115"/>
        <item x="173"/>
        <item x="117"/>
        <item x="325"/>
        <item x="93"/>
        <item x="363"/>
        <item x="9"/>
        <item x="212"/>
        <item x="70"/>
        <item x="292"/>
        <item x="130"/>
        <item x="105"/>
        <item x="48"/>
        <item x="124"/>
        <item x="492"/>
        <item x="180"/>
        <item x="243"/>
        <item x="302"/>
        <item x="474"/>
        <item x="498"/>
        <item x="60"/>
        <item x="49"/>
        <item x="451"/>
        <item x="318"/>
        <item x="52"/>
        <item x="326"/>
        <item x="142"/>
        <item x="27"/>
        <item x="123"/>
        <item x="542"/>
        <item x="417"/>
        <item x="216"/>
        <item x="426"/>
        <item x="31"/>
        <item x="472"/>
        <item x="217"/>
        <item x="364"/>
        <item x="370"/>
        <item x="160"/>
        <item x="275"/>
        <item x="40"/>
        <item x="178"/>
        <item x="530"/>
        <item x="158"/>
        <item x="481"/>
        <item x="202"/>
        <item x="30"/>
        <item x="150"/>
        <item x="552"/>
        <item x="374"/>
        <item x="95"/>
        <item x="196"/>
        <item x="463"/>
        <item x="300"/>
        <item x="487"/>
        <item x="398"/>
        <item x="489"/>
        <item x="44"/>
        <item x="399"/>
        <item x="162"/>
        <item x="517"/>
        <item x="122"/>
        <item x="169"/>
        <item x="177"/>
        <item x="126"/>
        <item t="default"/>
      </items>
    </pivotField>
    <pivotField numFmtId="2" showAll="0"/>
    <pivotField showAll="0"/>
    <pivotField dataField="1" numFmtId="2" showAll="0"/>
    <pivotField showAll="0"/>
    <pivotField numFmtId="2" showAll="0"/>
    <pivotField showAll="0">
      <items count="554">
        <item x="268"/>
        <item x="425"/>
        <item x="107"/>
        <item x="188"/>
        <item x="335"/>
        <item x="285"/>
        <item x="538"/>
        <item x="192"/>
        <item x="259"/>
        <item x="229"/>
        <item x="166"/>
        <item x="216"/>
        <item x="342"/>
        <item x="404"/>
        <item x="160"/>
        <item x="139"/>
        <item x="153"/>
        <item x="238"/>
        <item x="80"/>
        <item x="465"/>
        <item x="267"/>
        <item x="98"/>
        <item x="496"/>
        <item x="189"/>
        <item x="406"/>
        <item x="359"/>
        <item x="171"/>
        <item x="462"/>
        <item x="480"/>
        <item x="250"/>
        <item x="322"/>
        <item x="445"/>
        <item x="308"/>
        <item x="310"/>
        <item x="340"/>
        <item x="15"/>
        <item x="145"/>
        <item x="226"/>
        <item x="524"/>
        <item x="429"/>
        <item x="88"/>
        <item x="101"/>
        <item x="331"/>
        <item x="143"/>
        <item x="48"/>
        <item x="196"/>
        <item x="6"/>
        <item x="52"/>
        <item x="455"/>
        <item x="164"/>
        <item x="30"/>
        <item x="128"/>
        <item x="394"/>
        <item x="21"/>
        <item x="386"/>
        <item x="150"/>
        <item x="234"/>
        <item x="381"/>
        <item x="158"/>
        <item x="436"/>
        <item x="490"/>
        <item x="309"/>
        <item x="62"/>
        <item x="203"/>
        <item x="380"/>
        <item x="212"/>
        <item x="191"/>
        <item x="470"/>
        <item x="230"/>
        <item x="19"/>
        <item x="227"/>
        <item x="224"/>
        <item x="522"/>
        <item x="195"/>
        <item x="471"/>
        <item x="498"/>
        <item x="159"/>
        <item x="348"/>
        <item x="269"/>
        <item x="266"/>
        <item x="401"/>
        <item x="489"/>
        <item x="39"/>
        <item x="58"/>
        <item x="133"/>
        <item x="305"/>
        <item x="53"/>
        <item x="124"/>
        <item x="510"/>
        <item x="68"/>
        <item x="237"/>
        <item x="450"/>
        <item x="511"/>
        <item x="217"/>
        <item x="528"/>
        <item x="284"/>
        <item x="197"/>
        <item x="265"/>
        <item x="403"/>
        <item x="204"/>
        <item x="397"/>
        <item x="219"/>
        <item x="442"/>
        <item x="194"/>
        <item x="515"/>
        <item x="446"/>
        <item x="91"/>
        <item x="177"/>
        <item x="493"/>
        <item x="49"/>
        <item x="283"/>
        <item x="121"/>
        <item x="494"/>
        <item x="110"/>
        <item x="402"/>
        <item x="504"/>
        <item x="10"/>
        <item x="344"/>
        <item x="433"/>
        <item x="389"/>
        <item x="272"/>
        <item x="448"/>
        <item x="466"/>
        <item x="514"/>
        <item x="454"/>
        <item x="33"/>
        <item x="372"/>
        <item x="366"/>
        <item x="420"/>
        <item x="47"/>
        <item x="71"/>
        <item x="423"/>
        <item x="59"/>
        <item x="137"/>
        <item x="482"/>
        <item x="83"/>
        <item x="321"/>
        <item x="221"/>
        <item x="356"/>
        <item x="36"/>
        <item x="148"/>
        <item x="426"/>
        <item x="360"/>
        <item x="261"/>
        <item x="411"/>
        <item x="252"/>
        <item x="280"/>
        <item x="313"/>
        <item x="379"/>
        <item x="208"/>
        <item x="355"/>
        <item x="306"/>
        <item x="134"/>
        <item x="65"/>
        <item x="29"/>
        <item x="417"/>
        <item x="540"/>
        <item x="495"/>
        <item x="64"/>
        <item x="481"/>
        <item x="123"/>
        <item x="144"/>
        <item x="84"/>
        <item x="198"/>
        <item x="529"/>
        <item x="483"/>
        <item x="327"/>
        <item x="176"/>
        <item x="114"/>
        <item x="13"/>
        <item x="362"/>
        <item x="328"/>
        <item x="275"/>
        <item x="375"/>
        <item x="478"/>
        <item x="443"/>
        <item x="352"/>
        <item x="24"/>
        <item x="258"/>
        <item x="209"/>
        <item x="407"/>
        <item x="387"/>
        <item x="371"/>
        <item x="256"/>
        <item x="415"/>
        <item x="326"/>
        <item x="518"/>
        <item x="307"/>
        <item x="34"/>
        <item x="464"/>
        <item x="122"/>
        <item x="537"/>
        <item x="183"/>
        <item x="547"/>
        <item x="388"/>
        <item x="312"/>
        <item x="240"/>
        <item x="376"/>
        <item x="408"/>
        <item x="451"/>
        <item x="245"/>
        <item x="290"/>
        <item x="32"/>
        <item x="447"/>
        <item x="179"/>
        <item x="178"/>
        <item x="131"/>
        <item x="452"/>
        <item x="363"/>
        <item x="488"/>
        <item x="416"/>
        <item x="320"/>
        <item x="100"/>
        <item x="103"/>
        <item x="63"/>
        <item x="130"/>
        <item x="512"/>
        <item x="73"/>
        <item x="222"/>
        <item x="8"/>
        <item x="334"/>
        <item x="37"/>
        <item x="253"/>
        <item x="438"/>
        <item x="405"/>
        <item x="106"/>
        <item x="302"/>
        <item x="444"/>
        <item x="200"/>
        <item x="264"/>
        <item x="174"/>
        <item x="167"/>
        <item x="231"/>
        <item x="428"/>
        <item x="207"/>
        <item x="492"/>
        <item x="434"/>
        <item x="95"/>
        <item x="477"/>
        <item x="506"/>
        <item x="384"/>
        <item x="220"/>
        <item x="205"/>
        <item x="430"/>
        <item x="184"/>
        <item x="456"/>
        <item x="42"/>
        <item x="491"/>
        <item x="400"/>
        <item x="345"/>
        <item x="467"/>
        <item x="367"/>
        <item x="102"/>
        <item x="92"/>
        <item x="458"/>
        <item x="119"/>
        <item x="507"/>
        <item x="424"/>
        <item x="56"/>
        <item x="157"/>
        <item x="543"/>
        <item x="295"/>
        <item x="460"/>
        <item x="141"/>
        <item x="463"/>
        <item x="7"/>
        <item x="501"/>
        <item x="147"/>
        <item x="422"/>
        <item x="390"/>
        <item x="337"/>
        <item x="325"/>
        <item x="476"/>
        <item x="3"/>
        <item x="545"/>
        <item x="343"/>
        <item x="17"/>
        <item x="118"/>
        <item x="435"/>
        <item x="544"/>
        <item x="86"/>
        <item x="457"/>
        <item x="22"/>
        <item x="108"/>
        <item x="336"/>
        <item x="162"/>
        <item x="461"/>
        <item x="520"/>
        <item x="526"/>
        <item x="77"/>
        <item x="156"/>
        <item x="9"/>
        <item x="263"/>
        <item x="273"/>
        <item x="97"/>
        <item x="304"/>
        <item x="260"/>
        <item x="55"/>
        <item x="248"/>
        <item x="303"/>
        <item x="364"/>
        <item x="546"/>
        <item x="316"/>
        <item x="409"/>
        <item x="499"/>
        <item x="441"/>
        <item x="521"/>
        <item x="297"/>
        <item x="111"/>
        <item x="251"/>
        <item x="116"/>
        <item x="136"/>
        <item x="505"/>
        <item x="135"/>
        <item x="349"/>
        <item x="286"/>
        <item x="239"/>
        <item x="138"/>
        <item x="2"/>
        <item x="271"/>
        <item x="182"/>
        <item x="26"/>
        <item x="353"/>
        <item x="249"/>
        <item x="172"/>
        <item x="89"/>
        <item x="211"/>
        <item x="513"/>
        <item x="299"/>
        <item x="255"/>
        <item x="487"/>
        <item x="383"/>
        <item x="257"/>
        <item x="551"/>
        <item x="18"/>
        <item x="181"/>
        <item x="129"/>
        <item x="508"/>
        <item x="296"/>
        <item x="365"/>
        <item x="550"/>
        <item x="361"/>
        <item x="468"/>
        <item x="23"/>
        <item x="46"/>
        <item x="225"/>
        <item x="503"/>
        <item x="96"/>
        <item x="324"/>
        <item x="287"/>
        <item x="99"/>
        <item x="346"/>
        <item x="377"/>
        <item x="87"/>
        <item x="374"/>
        <item x="414"/>
        <item x="14"/>
        <item x="418"/>
        <item x="236"/>
        <item x="333"/>
        <item x="190"/>
        <item x="398"/>
        <item x="277"/>
        <item x="289"/>
        <item x="378"/>
        <item x="370"/>
        <item x="35"/>
        <item x="243"/>
        <item x="410"/>
        <item x="472"/>
        <item x="527"/>
        <item x="93"/>
        <item x="509"/>
        <item x="117"/>
        <item x="61"/>
        <item x="0"/>
        <item x="104"/>
        <item x="318"/>
        <item x="484"/>
        <item x="323"/>
        <item x="437"/>
        <item x="347"/>
        <item x="201"/>
        <item x="339"/>
        <item x="288"/>
        <item x="233"/>
        <item x="79"/>
        <item x="542"/>
        <item x="497"/>
        <item x="533"/>
        <item x="112"/>
        <item x="246"/>
        <item x="525"/>
        <item x="126"/>
        <item x="142"/>
        <item x="170"/>
        <item x="500"/>
        <item x="214"/>
        <item x="282"/>
        <item x="81"/>
        <item x="459"/>
        <item x="72"/>
        <item x="485"/>
        <item x="440"/>
        <item x="382"/>
        <item x="199"/>
        <item x="486"/>
        <item x="163"/>
        <item x="28"/>
        <item x="223"/>
        <item x="536"/>
        <item x="11"/>
        <item x="421"/>
        <item x="20"/>
        <item x="531"/>
        <item x="298"/>
        <item x="351"/>
        <item x="75"/>
        <item x="206"/>
        <item x="453"/>
        <item x="530"/>
        <item x="90"/>
        <item x="354"/>
        <item x="332"/>
        <item x="341"/>
        <item x="293"/>
        <item x="232"/>
        <item x="314"/>
        <item x="368"/>
        <item x="38"/>
        <item x="338"/>
        <item x="534"/>
        <item x="228"/>
        <item x="473"/>
        <item x="311"/>
        <item x="517"/>
        <item x="120"/>
        <item x="292"/>
        <item x="180"/>
        <item x="168"/>
        <item x="44"/>
        <item x="146"/>
        <item x="369"/>
        <item x="502"/>
        <item x="193"/>
        <item x="392"/>
        <item x="210"/>
        <item x="431"/>
        <item x="12"/>
        <item x="70"/>
        <item x="154"/>
        <item x="244"/>
        <item x="1"/>
        <item x="399"/>
        <item x="541"/>
        <item x="279"/>
        <item x="186"/>
        <item x="115"/>
        <item x="51"/>
        <item x="161"/>
        <item x="4"/>
        <item x="235"/>
        <item x="165"/>
        <item x="31"/>
        <item x="412"/>
        <item x="85"/>
        <item x="427"/>
        <item x="185"/>
        <item x="439"/>
        <item x="175"/>
        <item x="532"/>
        <item x="66"/>
        <item x="432"/>
        <item x="276"/>
        <item x="278"/>
        <item x="25"/>
        <item x="140"/>
        <item x="317"/>
        <item x="82"/>
        <item x="294"/>
        <item x="127"/>
        <item x="357"/>
        <item x="57"/>
        <item x="552"/>
        <item x="319"/>
        <item x="74"/>
        <item x="329"/>
        <item x="40"/>
        <item x="27"/>
        <item x="391"/>
        <item x="94"/>
        <item x="125"/>
        <item x="358"/>
        <item x="241"/>
        <item x="254"/>
        <item x="516"/>
        <item x="396"/>
        <item x="43"/>
        <item x="54"/>
        <item x="155"/>
        <item x="109"/>
        <item x="242"/>
        <item x="67"/>
        <item x="419"/>
        <item x="151"/>
        <item x="393"/>
        <item x="105"/>
        <item x="60"/>
        <item x="5"/>
        <item x="385"/>
        <item x="270"/>
        <item x="113"/>
        <item x="548"/>
        <item x="132"/>
        <item x="76"/>
        <item x="281"/>
        <item x="469"/>
        <item x="315"/>
        <item x="69"/>
        <item x="262"/>
        <item x="215"/>
        <item x="474"/>
        <item x="330"/>
        <item x="479"/>
        <item x="78"/>
        <item x="169"/>
        <item x="549"/>
        <item x="519"/>
        <item x="373"/>
        <item x="247"/>
        <item x="152"/>
        <item x="300"/>
        <item x="395"/>
        <item x="45"/>
        <item x="475"/>
        <item x="41"/>
        <item x="218"/>
        <item x="202"/>
        <item x="449"/>
        <item x="413"/>
        <item x="149"/>
        <item x="50"/>
        <item x="16"/>
        <item x="350"/>
        <item x="523"/>
        <item x="274"/>
        <item x="535"/>
        <item x="187"/>
        <item x="539"/>
        <item x="173"/>
        <item x="301"/>
        <item x="291"/>
        <item x="213"/>
        <item t="default"/>
      </items>
    </pivotField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554">
        <item x="451"/>
        <item x="48"/>
        <item x="483"/>
        <item x="548"/>
        <item x="301"/>
        <item x="43"/>
        <item x="259"/>
        <item x="27"/>
        <item x="359"/>
        <item x="170"/>
        <item x="143"/>
        <item x="98"/>
        <item x="462"/>
        <item x="198"/>
        <item x="291"/>
        <item x="30"/>
        <item x="459"/>
        <item x="409"/>
        <item x="327"/>
        <item x="28"/>
        <item x="164"/>
        <item x="336"/>
        <item x="4"/>
        <item x="352"/>
        <item x="282"/>
        <item x="321"/>
        <item x="355"/>
        <item x="501"/>
        <item x="366"/>
        <item x="242"/>
        <item x="467"/>
        <item x="141"/>
        <item x="121"/>
        <item x="226"/>
        <item x="37"/>
        <item x="304"/>
        <item x="546"/>
        <item x="182"/>
        <item x="386"/>
        <item x="249"/>
        <item x="544"/>
        <item x="237"/>
        <item x="416"/>
        <item x="452"/>
        <item x="257"/>
        <item x="148"/>
        <item x="168"/>
        <item x="424"/>
        <item x="414"/>
        <item x="20"/>
        <item x="339"/>
        <item x="64"/>
        <item x="509"/>
        <item x="433"/>
        <item x="342"/>
        <item x="309"/>
        <item x="547"/>
        <item x="130"/>
        <item x="7"/>
        <item x="312"/>
        <item x="58"/>
        <item x="493"/>
        <item x="229"/>
        <item x="481"/>
        <item x="253"/>
        <item x="498"/>
        <item x="368"/>
        <item x="446"/>
        <item x="54"/>
        <item x="167"/>
        <item x="268"/>
        <item x="317"/>
        <item x="195"/>
        <item x="453"/>
        <item x="10"/>
        <item x="41"/>
        <item x="197"/>
        <item x="233"/>
        <item x="373"/>
        <item x="331"/>
        <item x="396"/>
        <item x="322"/>
        <item x="209"/>
        <item x="510"/>
        <item x="503"/>
        <item x="94"/>
        <item x="234"/>
        <item x="82"/>
        <item x="413"/>
        <item x="545"/>
        <item x="67"/>
        <item x="111"/>
        <item x="220"/>
        <item x="187"/>
        <item x="541"/>
        <item x="469"/>
        <item x="86"/>
        <item x="69"/>
        <item x="531"/>
        <item x="75"/>
        <item x="124"/>
        <item x="404"/>
        <item x="108"/>
        <item x="522"/>
        <item x="238"/>
        <item x="442"/>
        <item x="326"/>
        <item x="387"/>
        <item x="50"/>
        <item x="448"/>
        <item x="299"/>
        <item x="88"/>
        <item x="68"/>
        <item x="454"/>
        <item x="235"/>
        <item x="482"/>
        <item x="139"/>
        <item x="135"/>
        <item x="13"/>
        <item x="532"/>
        <item x="39"/>
        <item x="417"/>
        <item x="374"/>
        <item x="419"/>
        <item x="173"/>
        <item x="155"/>
        <item x="380"/>
        <item x="72"/>
        <item x="407"/>
        <item x="392"/>
        <item x="24"/>
        <item x="389"/>
        <item x="518"/>
        <item x="263"/>
        <item x="478"/>
        <item x="415"/>
        <item x="471"/>
        <item x="223"/>
        <item x="40"/>
        <item x="403"/>
        <item x="489"/>
        <item x="356"/>
        <item x="361"/>
        <item x="178"/>
        <item x="295"/>
        <item x="181"/>
        <item x="120"/>
        <item x="394"/>
        <item x="476"/>
        <item x="349"/>
        <item x="12"/>
        <item x="388"/>
        <item x="126"/>
        <item x="530"/>
        <item x="307"/>
        <item x="191"/>
        <item x="444"/>
        <item x="244"/>
        <item x="179"/>
        <item x="513"/>
        <item x="269"/>
        <item x="246"/>
        <item x="264"/>
        <item x="273"/>
        <item x="529"/>
        <item x="319"/>
        <item x="543"/>
        <item x="251"/>
        <item x="410"/>
        <item x="340"/>
        <item x="550"/>
        <item x="78"/>
        <item x="92"/>
        <item x="353"/>
        <item x="90"/>
        <item x="325"/>
        <item x="258"/>
        <item x="521"/>
        <item x="122"/>
        <item x="313"/>
        <item x="219"/>
        <item x="3"/>
        <item x="19"/>
        <item x="154"/>
        <item x="420"/>
        <item x="323"/>
        <item x="176"/>
        <item x="35"/>
        <item x="227"/>
        <item x="358"/>
        <item x="117"/>
        <item x="0"/>
        <item x="265"/>
        <item x="303"/>
        <item x="183"/>
        <item x="83"/>
        <item x="172"/>
        <item x="175"/>
        <item x="138"/>
        <item x="314"/>
        <item x="262"/>
        <item x="456"/>
        <item x="17"/>
        <item x="468"/>
        <item x="505"/>
        <item x="247"/>
        <item x="21"/>
        <item x="372"/>
        <item x="222"/>
        <item x="542"/>
        <item x="162"/>
        <item x="378"/>
        <item x="427"/>
        <item x="345"/>
        <item x="153"/>
        <item x="125"/>
        <item x="276"/>
        <item x="270"/>
        <item x="283"/>
        <item x="113"/>
        <item x="527"/>
        <item x="77"/>
        <item x="347"/>
        <item x="536"/>
        <item x="475"/>
        <item x="324"/>
        <item x="208"/>
        <item x="480"/>
        <item x="31"/>
        <item x="99"/>
        <item x="184"/>
        <item x="515"/>
        <item x="287"/>
        <item x="500"/>
        <item x="447"/>
        <item x="200"/>
        <item x="194"/>
        <item x="119"/>
        <item x="63"/>
        <item x="127"/>
        <item x="315"/>
        <item x="275"/>
        <item x="357"/>
        <item x="133"/>
        <item x="81"/>
        <item x="142"/>
        <item x="383"/>
        <item x="371"/>
        <item x="147"/>
        <item x="84"/>
        <item x="93"/>
        <item x="535"/>
        <item x="406"/>
        <item x="350"/>
        <item x="189"/>
        <item x="385"/>
        <item x="485"/>
        <item x="95"/>
        <item x="318"/>
        <item x="492"/>
        <item x="463"/>
        <item x="243"/>
        <item x="52"/>
        <item x="460"/>
        <item x="363"/>
        <item x="370"/>
        <item x="288"/>
        <item x="136"/>
        <item x="477"/>
        <item x="169"/>
        <item x="107"/>
        <item x="211"/>
        <item x="395"/>
        <item x="151"/>
        <item x="42"/>
        <item x="161"/>
        <item x="474"/>
        <item x="422"/>
        <item x="44"/>
        <item x="70"/>
        <item x="472"/>
        <item x="53"/>
        <item x="110"/>
        <item x="186"/>
        <item x="305"/>
        <item x="494"/>
        <item x="62"/>
        <item x="105"/>
        <item x="160"/>
        <item x="149"/>
        <item x="302"/>
        <item x="156"/>
        <item x="100"/>
        <item x="201"/>
        <item x="549"/>
        <item x="487"/>
        <item x="393"/>
        <item x="74"/>
        <item x="166"/>
        <item x="25"/>
        <item x="212"/>
        <item x="506"/>
        <item x="508"/>
        <item x="279"/>
        <item x="308"/>
        <item x="16"/>
        <item x="190"/>
        <item x="32"/>
        <item x="174"/>
        <item x="399"/>
        <item x="157"/>
        <item x="225"/>
        <item x="216"/>
        <item x="261"/>
        <item x="338"/>
        <item x="434"/>
        <item x="310"/>
        <item x="15"/>
        <item x="101"/>
        <item x="165"/>
        <item x="289"/>
        <item x="343"/>
        <item x="144"/>
        <item x="285"/>
        <item x="450"/>
        <item x="316"/>
        <item x="206"/>
        <item x="87"/>
        <item x="523"/>
        <item x="397"/>
        <item x="354"/>
        <item x="538"/>
        <item x="1"/>
        <item x="207"/>
        <item x="533"/>
        <item x="292"/>
        <item x="332"/>
        <item x="437"/>
        <item x="405"/>
        <item x="51"/>
        <item x="360"/>
        <item x="85"/>
        <item x="240"/>
        <item x="486"/>
        <item x="435"/>
        <item x="430"/>
        <item x="330"/>
        <item x="18"/>
        <item x="277"/>
        <item x="381"/>
        <item x="441"/>
        <item x="260"/>
        <item x="239"/>
        <item x="109"/>
        <item x="114"/>
        <item x="458"/>
        <item x="159"/>
        <item x="89"/>
        <item x="104"/>
        <item x="298"/>
        <item x="402"/>
        <item x="224"/>
        <item x="217"/>
        <item x="348"/>
        <item x="516"/>
        <item x="22"/>
        <item x="215"/>
        <item x="66"/>
        <item x="443"/>
        <item x="134"/>
        <item x="245"/>
        <item x="436"/>
        <item x="6"/>
        <item x="294"/>
        <item x="376"/>
        <item x="23"/>
        <item x="59"/>
        <item x="228"/>
        <item x="284"/>
        <item x="213"/>
        <item x="180"/>
        <item x="495"/>
        <item x="97"/>
        <item x="491"/>
        <item x="398"/>
        <item x="382"/>
        <item x="177"/>
        <item x="38"/>
        <item x="421"/>
        <item x="524"/>
        <item x="115"/>
        <item x="60"/>
        <item x="364"/>
        <item x="210"/>
        <item x="46"/>
        <item x="445"/>
        <item x="552"/>
        <item x="286"/>
        <item x="390"/>
        <item x="131"/>
        <item x="241"/>
        <item x="329"/>
        <item x="146"/>
        <item x="517"/>
        <item x="418"/>
        <item x="274"/>
        <item x="439"/>
        <item x="428"/>
        <item x="36"/>
        <item x="334"/>
        <item x="49"/>
        <item x="432"/>
        <item x="137"/>
        <item x="29"/>
        <item x="250"/>
        <item x="196"/>
        <item x="76"/>
        <item x="438"/>
        <item x="123"/>
        <item x="150"/>
        <item x="61"/>
        <item x="14"/>
        <item x="300"/>
        <item x="534"/>
        <item x="272"/>
        <item x="255"/>
        <item x="145"/>
        <item x="296"/>
        <item x="202"/>
        <item x="158"/>
        <item x="280"/>
        <item x="502"/>
        <item x="128"/>
        <item x="9"/>
        <item x="192"/>
        <item x="252"/>
        <item x="512"/>
        <item x="384"/>
        <item x="320"/>
        <item x="449"/>
        <item x="412"/>
        <item x="96"/>
        <item x="232"/>
        <item x="465"/>
        <item x="551"/>
        <item x="369"/>
        <item x="497"/>
        <item x="499"/>
        <item x="461"/>
        <item x="511"/>
        <item x="346"/>
        <item x="271"/>
        <item x="47"/>
        <item x="457"/>
        <item x="484"/>
        <item x="344"/>
        <item x="528"/>
        <item x="33"/>
        <item x="379"/>
        <item x="411"/>
        <item x="297"/>
        <item x="204"/>
        <item x="365"/>
        <item x="377"/>
        <item x="470"/>
        <item x="479"/>
        <item x="231"/>
        <item x="519"/>
        <item x="254"/>
        <item x="140"/>
        <item x="8"/>
        <item x="102"/>
        <item x="132"/>
        <item x="73"/>
        <item x="193"/>
        <item x="129"/>
        <item x="205"/>
        <item x="507"/>
        <item x="375"/>
        <item x="2"/>
        <item x="163"/>
        <item x="440"/>
        <item x="431"/>
        <item x="400"/>
        <item x="401"/>
        <item x="540"/>
        <item x="391"/>
        <item x="341"/>
        <item x="496"/>
        <item x="362"/>
        <item x="281"/>
        <item x="306"/>
        <item x="514"/>
        <item x="426"/>
        <item x="5"/>
        <item x="464"/>
        <item x="103"/>
        <item x="34"/>
        <item x="488"/>
        <item x="199"/>
        <item x="91"/>
        <item x="293"/>
        <item x="537"/>
        <item x="337"/>
        <item x="116"/>
        <item x="152"/>
        <item x="278"/>
        <item x="118"/>
        <item x="290"/>
        <item x="520"/>
        <item x="333"/>
        <item x="248"/>
        <item x="525"/>
        <item x="171"/>
        <item x="539"/>
        <item x="311"/>
        <item x="185"/>
        <item x="45"/>
        <item x="203"/>
        <item x="367"/>
        <item x="55"/>
        <item x="236"/>
        <item x="57"/>
        <item x="188"/>
        <item x="425"/>
        <item x="351"/>
        <item x="106"/>
        <item x="408"/>
        <item x="267"/>
        <item x="71"/>
        <item x="56"/>
        <item x="504"/>
        <item x="423"/>
        <item x="335"/>
        <item x="80"/>
        <item x="473"/>
        <item x="65"/>
        <item x="79"/>
        <item x="112"/>
        <item x="26"/>
        <item x="466"/>
        <item x="526"/>
        <item x="256"/>
        <item x="328"/>
        <item x="218"/>
        <item x="214"/>
        <item x="266"/>
        <item x="455"/>
        <item x="11"/>
        <item x="221"/>
        <item x="490"/>
        <item x="429"/>
        <item x="230"/>
        <item t="default"/>
      </items>
    </pivotField>
    <pivotField showAll="0"/>
    <pivotField showAll="0"/>
    <pivotField numFmtId="1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 numFmtId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DE0DE-FA61-4949-8815-D195942BCAB7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I3:J7" firstHeaderRow="1" firstDataRow="1" firstDataCol="1"/>
  <pivotFields count="24">
    <pivotField showAll="0"/>
    <pivotField showAll="0"/>
    <pivotField numFmtId="168" showAll="0">
      <items count="450">
        <item x="353"/>
        <item x="28"/>
        <item x="309"/>
        <item x="200"/>
        <item x="339"/>
        <item x="320"/>
        <item x="142"/>
        <item x="6"/>
        <item x="363"/>
        <item x="424"/>
        <item x="43"/>
        <item x="434"/>
        <item x="203"/>
        <item x="77"/>
        <item x="373"/>
        <item x="355"/>
        <item x="137"/>
        <item x="389"/>
        <item x="324"/>
        <item x="144"/>
        <item x="303"/>
        <item x="32"/>
        <item x="230"/>
        <item x="250"/>
        <item x="195"/>
        <item x="187"/>
        <item x="287"/>
        <item x="345"/>
        <item x="100"/>
        <item x="337"/>
        <item x="9"/>
        <item x="189"/>
        <item x="192"/>
        <item x="90"/>
        <item x="352"/>
        <item x="411"/>
        <item x="296"/>
        <item x="138"/>
        <item x="87"/>
        <item x="129"/>
        <item x="318"/>
        <item x="110"/>
        <item x="332"/>
        <item x="27"/>
        <item x="344"/>
        <item x="279"/>
        <item x="281"/>
        <item x="227"/>
        <item x="267"/>
        <item x="301"/>
        <item x="151"/>
        <item x="157"/>
        <item x="7"/>
        <item x="265"/>
        <item x="36"/>
        <item x="78"/>
        <item x="21"/>
        <item x="103"/>
        <item x="215"/>
        <item x="109"/>
        <item x="205"/>
        <item x="275"/>
        <item x="347"/>
        <item x="83"/>
        <item x="217"/>
        <item x="447"/>
        <item x="202"/>
        <item x="285"/>
        <item x="403"/>
        <item x="394"/>
        <item x="362"/>
        <item x="146"/>
        <item x="375"/>
        <item x="234"/>
        <item x="378"/>
        <item x="360"/>
        <item x="317"/>
        <item x="356"/>
        <item x="419"/>
        <item x="191"/>
        <item x="53"/>
        <item x="293"/>
        <item x="416"/>
        <item x="25"/>
        <item x="82"/>
        <item x="402"/>
        <item x="190"/>
        <item x="354"/>
        <item x="390"/>
        <item x="406"/>
        <item x="214"/>
        <item x="331"/>
        <item x="211"/>
        <item x="439"/>
        <item x="387"/>
        <item x="258"/>
        <item x="286"/>
        <item x="199"/>
        <item x="62"/>
        <item x="225"/>
        <item x="221"/>
        <item x="91"/>
        <item x="61"/>
        <item x="118"/>
        <item x="333"/>
        <item x="85"/>
        <item x="38"/>
        <item x="115"/>
        <item x="216"/>
        <item x="294"/>
        <item x="65"/>
        <item x="273"/>
        <item x="159"/>
        <item x="139"/>
        <item x="59"/>
        <item x="395"/>
        <item x="445"/>
        <item x="105"/>
        <item x="10"/>
        <item x="388"/>
        <item x="219"/>
        <item x="398"/>
        <item x="232"/>
        <item x="104"/>
        <item x="322"/>
        <item x="397"/>
        <item x="96"/>
        <item x="163"/>
        <item x="63"/>
        <item x="66"/>
        <item x="126"/>
        <item x="396"/>
        <item x="80"/>
        <item x="156"/>
        <item x="155"/>
        <item x="365"/>
        <item x="336"/>
        <item x="241"/>
        <item x="282"/>
        <item x="367"/>
        <item x="263"/>
        <item x="290"/>
        <item x="198"/>
        <item x="161"/>
        <item x="415"/>
        <item x="69"/>
        <item x="254"/>
        <item x="327"/>
        <item x="441"/>
        <item x="95"/>
        <item x="114"/>
        <item x="183"/>
        <item x="108"/>
        <item x="300"/>
        <item x="349"/>
        <item x="210"/>
        <item x="175"/>
        <item x="236"/>
        <item x="326"/>
        <item x="167"/>
        <item x="426"/>
        <item x="67"/>
        <item x="81"/>
        <item x="186"/>
        <item x="13"/>
        <item x="239"/>
        <item x="149"/>
        <item x="238"/>
        <item x="26"/>
        <item x="171"/>
        <item x="30"/>
        <item x="305"/>
        <item x="429"/>
        <item x="432"/>
        <item x="17"/>
        <item x="357"/>
        <item x="391"/>
        <item x="261"/>
        <item x="113"/>
        <item x="168"/>
        <item x="430"/>
        <item x="366"/>
        <item x="52"/>
        <item x="154"/>
        <item x="92"/>
        <item x="433"/>
        <item x="123"/>
        <item x="201"/>
        <item x="37"/>
        <item x="140"/>
        <item x="182"/>
        <item x="70"/>
        <item x="42"/>
        <item x="233"/>
        <item x="319"/>
        <item x="271"/>
        <item x="249"/>
        <item x="0"/>
        <item x="180"/>
        <item x="382"/>
        <item x="24"/>
        <item x="169"/>
        <item x="386"/>
        <item x="141"/>
        <item x="274"/>
        <item x="260"/>
        <item x="240"/>
        <item x="359"/>
        <item x="177"/>
        <item x="283"/>
        <item x="75"/>
        <item x="443"/>
        <item x="145"/>
        <item x="226"/>
        <item x="323"/>
        <item x="228"/>
        <item x="312"/>
        <item x="420"/>
        <item x="166"/>
        <item x="8"/>
        <item x="444"/>
        <item x="346"/>
        <item x="270"/>
        <item x="19"/>
        <item x="23"/>
        <item x="131"/>
        <item x="35"/>
        <item x="348"/>
        <item x="73"/>
        <item x="427"/>
        <item x="220"/>
        <item x="119"/>
        <item x="384"/>
        <item x="442"/>
        <item x="40"/>
        <item x="342"/>
        <item x="308"/>
        <item x="381"/>
        <item x="153"/>
        <item x="127"/>
        <item x="316"/>
        <item x="277"/>
        <item x="237"/>
        <item x="377"/>
        <item x="235"/>
        <item x="321"/>
        <item x="422"/>
        <item x="84"/>
        <item x="45"/>
        <item x="405"/>
        <item x="122"/>
        <item x="134"/>
        <item x="224"/>
        <item x="418"/>
        <item x="5"/>
        <item x="340"/>
        <item x="60"/>
        <item x="440"/>
        <item x="20"/>
        <item x="412"/>
        <item x="299"/>
        <item x="51"/>
        <item x="165"/>
        <item x="196"/>
        <item x="278"/>
        <item x="133"/>
        <item x="334"/>
        <item x="435"/>
        <item x="364"/>
        <item x="88"/>
        <item x="50"/>
        <item x="248"/>
        <item x="22"/>
        <item x="243"/>
        <item x="34"/>
        <item x="428"/>
        <item x="369"/>
        <item x="446"/>
        <item x="256"/>
        <item x="68"/>
        <item x="57"/>
        <item x="376"/>
        <item x="310"/>
        <item x="74"/>
        <item x="380"/>
        <item x="48"/>
        <item x="2"/>
        <item x="246"/>
        <item x="311"/>
        <item x="276"/>
        <item x="164"/>
        <item x="436"/>
        <item x="55"/>
        <item x="423"/>
        <item x="298"/>
        <item x="421"/>
        <item x="117"/>
        <item x="295"/>
        <item x="302"/>
        <item x="116"/>
        <item x="128"/>
        <item x="343"/>
        <item x="193"/>
        <item x="297"/>
        <item x="371"/>
        <item x="392"/>
        <item x="179"/>
        <item x="64"/>
        <item x="170"/>
        <item x="16"/>
        <item x="125"/>
        <item x="185"/>
        <item x="218"/>
        <item x="147"/>
        <item x="242"/>
        <item x="409"/>
        <item x="174"/>
        <item x="266"/>
        <item x="289"/>
        <item x="184"/>
        <item x="130"/>
        <item x="372"/>
        <item x="15"/>
        <item x="3"/>
        <item x="368"/>
        <item x="262"/>
        <item x="44"/>
        <item x="269"/>
        <item x="4"/>
        <item x="437"/>
        <item x="101"/>
        <item x="197"/>
        <item x="204"/>
        <item x="288"/>
        <item x="408"/>
        <item x="79"/>
        <item x="431"/>
        <item x="229"/>
        <item x="251"/>
        <item x="71"/>
        <item x="379"/>
        <item x="178"/>
        <item x="425"/>
        <item x="400"/>
        <item x="46"/>
        <item x="315"/>
        <item x="255"/>
        <item x="272"/>
        <item x="325"/>
        <item x="351"/>
        <item x="330"/>
        <item x="291"/>
        <item x="307"/>
        <item x="188"/>
        <item x="328"/>
        <item x="244"/>
        <item x="98"/>
        <item x="72"/>
        <item x="94"/>
        <item x="1"/>
        <item x="106"/>
        <item x="39"/>
        <item x="245"/>
        <item x="143"/>
        <item x="158"/>
        <item x="150"/>
        <item x="31"/>
        <item x="33"/>
        <item x="253"/>
        <item x="313"/>
        <item x="414"/>
        <item x="361"/>
        <item x="370"/>
        <item x="18"/>
        <item x="207"/>
        <item x="152"/>
        <item x="338"/>
        <item x="111"/>
        <item x="76"/>
        <item x="264"/>
        <item x="329"/>
        <item x="102"/>
        <item x="393"/>
        <item x="14"/>
        <item x="223"/>
        <item x="358"/>
        <item x="407"/>
        <item x="341"/>
        <item x="12"/>
        <item x="314"/>
        <item x="399"/>
        <item x="132"/>
        <item x="97"/>
        <item x="417"/>
        <item x="385"/>
        <item x="107"/>
        <item x="93"/>
        <item x="383"/>
        <item x="89"/>
        <item x="306"/>
        <item x="247"/>
        <item x="135"/>
        <item x="54"/>
        <item x="404"/>
        <item x="410"/>
        <item x="268"/>
        <item x="280"/>
        <item x="176"/>
        <item x="160"/>
        <item x="86"/>
        <item x="335"/>
        <item x="173"/>
        <item x="49"/>
        <item x="292"/>
        <item x="257"/>
        <item x="213"/>
        <item x="99"/>
        <item x="172"/>
        <item x="121"/>
        <item x="252"/>
        <item x="148"/>
        <item x="374"/>
        <item x="259"/>
        <item x="212"/>
        <item x="448"/>
        <item x="194"/>
        <item x="413"/>
        <item x="29"/>
        <item x="401"/>
        <item x="47"/>
        <item x="208"/>
        <item x="120"/>
        <item x="56"/>
        <item x="162"/>
        <item x="181"/>
        <item x="222"/>
        <item x="112"/>
        <item x="209"/>
        <item x="284"/>
        <item x="350"/>
        <item x="11"/>
        <item x="136"/>
        <item x="304"/>
        <item x="58"/>
        <item x="231"/>
        <item x="438"/>
        <item x="41"/>
        <item x="206"/>
        <item x="124"/>
        <item t="default"/>
      </items>
    </pivotField>
    <pivotField showAll="0"/>
    <pivotField showAll="0"/>
    <pivotField dataField="1" numFmtId="2" showAll="0"/>
    <pivotField numFmtId="2"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 numFmtId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BC6AB-AF81-4C5C-8F4E-6B4E258AB457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">
  <location ref="E3:F12" firstHeaderRow="1" firstDataRow="1" firstDataCol="1"/>
  <pivotFields count="24">
    <pivotField showAll="0"/>
    <pivotField showAll="0"/>
    <pivotField numFmtId="168" showAll="0">
      <items count="450">
        <item x="353"/>
        <item x="28"/>
        <item x="309"/>
        <item x="200"/>
        <item x="339"/>
        <item x="320"/>
        <item x="142"/>
        <item x="6"/>
        <item x="363"/>
        <item x="424"/>
        <item x="43"/>
        <item x="434"/>
        <item x="203"/>
        <item x="77"/>
        <item x="373"/>
        <item x="355"/>
        <item x="137"/>
        <item x="389"/>
        <item x="324"/>
        <item x="144"/>
        <item x="303"/>
        <item x="32"/>
        <item x="230"/>
        <item x="250"/>
        <item x="195"/>
        <item x="187"/>
        <item x="287"/>
        <item x="345"/>
        <item x="100"/>
        <item x="337"/>
        <item x="9"/>
        <item x="189"/>
        <item x="192"/>
        <item x="90"/>
        <item x="352"/>
        <item x="411"/>
        <item x="296"/>
        <item x="138"/>
        <item x="87"/>
        <item x="129"/>
        <item x="318"/>
        <item x="110"/>
        <item x="332"/>
        <item x="27"/>
        <item x="344"/>
        <item x="279"/>
        <item x="281"/>
        <item x="227"/>
        <item x="267"/>
        <item x="301"/>
        <item x="151"/>
        <item x="157"/>
        <item x="7"/>
        <item x="265"/>
        <item x="36"/>
        <item x="78"/>
        <item x="21"/>
        <item x="103"/>
        <item x="215"/>
        <item x="109"/>
        <item x="205"/>
        <item x="275"/>
        <item x="347"/>
        <item x="83"/>
        <item x="217"/>
        <item x="447"/>
        <item x="202"/>
        <item x="285"/>
        <item x="403"/>
        <item x="394"/>
        <item x="362"/>
        <item x="146"/>
        <item x="375"/>
        <item x="234"/>
        <item x="378"/>
        <item x="360"/>
        <item x="317"/>
        <item x="356"/>
        <item x="419"/>
        <item x="191"/>
        <item x="53"/>
        <item x="293"/>
        <item x="416"/>
        <item x="25"/>
        <item x="82"/>
        <item x="402"/>
        <item x="190"/>
        <item x="354"/>
        <item x="390"/>
        <item x="406"/>
        <item x="214"/>
        <item x="331"/>
        <item x="211"/>
        <item x="439"/>
        <item x="387"/>
        <item x="258"/>
        <item x="286"/>
        <item x="199"/>
        <item x="62"/>
        <item x="225"/>
        <item x="221"/>
        <item x="91"/>
        <item x="61"/>
        <item x="118"/>
        <item x="333"/>
        <item x="85"/>
        <item x="38"/>
        <item x="115"/>
        <item x="216"/>
        <item x="294"/>
        <item x="65"/>
        <item x="273"/>
        <item x="159"/>
        <item x="139"/>
        <item x="59"/>
        <item x="395"/>
        <item x="445"/>
        <item x="105"/>
        <item x="10"/>
        <item x="388"/>
        <item x="219"/>
        <item x="398"/>
        <item x="232"/>
        <item x="104"/>
        <item x="322"/>
        <item x="397"/>
        <item x="96"/>
        <item x="163"/>
        <item x="63"/>
        <item x="66"/>
        <item x="126"/>
        <item x="396"/>
        <item x="80"/>
        <item x="156"/>
        <item x="155"/>
        <item x="365"/>
        <item x="336"/>
        <item x="241"/>
        <item x="282"/>
        <item x="367"/>
        <item x="263"/>
        <item x="290"/>
        <item x="198"/>
        <item x="161"/>
        <item x="415"/>
        <item x="69"/>
        <item x="254"/>
        <item x="327"/>
        <item x="441"/>
        <item x="95"/>
        <item x="114"/>
        <item x="183"/>
        <item x="108"/>
        <item x="300"/>
        <item x="349"/>
        <item x="210"/>
        <item x="175"/>
        <item x="236"/>
        <item x="326"/>
        <item x="167"/>
        <item x="426"/>
        <item x="67"/>
        <item x="81"/>
        <item x="186"/>
        <item x="13"/>
        <item x="239"/>
        <item x="149"/>
        <item x="238"/>
        <item x="26"/>
        <item x="171"/>
        <item x="30"/>
        <item x="305"/>
        <item x="429"/>
        <item x="432"/>
        <item x="17"/>
        <item x="357"/>
        <item x="391"/>
        <item x="261"/>
        <item x="113"/>
        <item x="168"/>
        <item x="430"/>
        <item x="366"/>
        <item x="52"/>
        <item x="154"/>
        <item x="92"/>
        <item x="433"/>
        <item x="123"/>
        <item x="201"/>
        <item x="37"/>
        <item x="140"/>
        <item x="182"/>
        <item x="70"/>
        <item x="42"/>
        <item x="233"/>
        <item x="319"/>
        <item x="271"/>
        <item x="249"/>
        <item x="0"/>
        <item x="180"/>
        <item x="382"/>
        <item x="24"/>
        <item x="169"/>
        <item x="386"/>
        <item x="141"/>
        <item x="274"/>
        <item x="260"/>
        <item x="240"/>
        <item x="359"/>
        <item x="177"/>
        <item x="283"/>
        <item x="75"/>
        <item x="443"/>
        <item x="145"/>
        <item x="226"/>
        <item x="323"/>
        <item x="228"/>
        <item x="312"/>
        <item x="420"/>
        <item x="166"/>
        <item x="8"/>
        <item x="444"/>
        <item x="346"/>
        <item x="270"/>
        <item x="19"/>
        <item x="23"/>
        <item x="131"/>
        <item x="35"/>
        <item x="348"/>
        <item x="73"/>
        <item x="427"/>
        <item x="220"/>
        <item x="119"/>
        <item x="384"/>
        <item x="442"/>
        <item x="40"/>
        <item x="342"/>
        <item x="308"/>
        <item x="381"/>
        <item x="153"/>
        <item x="127"/>
        <item x="316"/>
        <item x="277"/>
        <item x="237"/>
        <item x="377"/>
        <item x="235"/>
        <item x="321"/>
        <item x="422"/>
        <item x="84"/>
        <item x="45"/>
        <item x="405"/>
        <item x="122"/>
        <item x="134"/>
        <item x="224"/>
        <item x="418"/>
        <item x="5"/>
        <item x="340"/>
        <item x="60"/>
        <item x="440"/>
        <item x="20"/>
        <item x="412"/>
        <item x="299"/>
        <item x="51"/>
        <item x="165"/>
        <item x="196"/>
        <item x="278"/>
        <item x="133"/>
        <item x="334"/>
        <item x="435"/>
        <item x="364"/>
        <item x="88"/>
        <item x="50"/>
        <item x="248"/>
        <item x="22"/>
        <item x="243"/>
        <item x="34"/>
        <item x="428"/>
        <item x="369"/>
        <item x="446"/>
        <item x="256"/>
        <item x="68"/>
        <item x="57"/>
        <item x="376"/>
        <item x="310"/>
        <item x="74"/>
        <item x="380"/>
        <item x="48"/>
        <item x="2"/>
        <item x="246"/>
        <item x="311"/>
        <item x="276"/>
        <item x="164"/>
        <item x="436"/>
        <item x="55"/>
        <item x="423"/>
        <item x="298"/>
        <item x="421"/>
        <item x="117"/>
        <item x="295"/>
        <item x="302"/>
        <item x="116"/>
        <item x="128"/>
        <item x="343"/>
        <item x="193"/>
        <item x="297"/>
        <item x="371"/>
        <item x="392"/>
        <item x="179"/>
        <item x="64"/>
        <item x="170"/>
        <item x="16"/>
        <item x="125"/>
        <item x="185"/>
        <item x="218"/>
        <item x="147"/>
        <item x="242"/>
        <item x="409"/>
        <item x="174"/>
        <item x="266"/>
        <item x="289"/>
        <item x="184"/>
        <item x="130"/>
        <item x="372"/>
        <item x="15"/>
        <item x="3"/>
        <item x="368"/>
        <item x="262"/>
        <item x="44"/>
        <item x="269"/>
        <item x="4"/>
        <item x="437"/>
        <item x="101"/>
        <item x="197"/>
        <item x="204"/>
        <item x="288"/>
        <item x="408"/>
        <item x="79"/>
        <item x="431"/>
        <item x="229"/>
        <item x="251"/>
        <item x="71"/>
        <item x="379"/>
        <item x="178"/>
        <item x="425"/>
        <item x="400"/>
        <item x="46"/>
        <item x="315"/>
        <item x="255"/>
        <item x="272"/>
        <item x="325"/>
        <item x="351"/>
        <item x="330"/>
        <item x="291"/>
        <item x="307"/>
        <item x="188"/>
        <item x="328"/>
        <item x="244"/>
        <item x="98"/>
        <item x="72"/>
        <item x="94"/>
        <item x="1"/>
        <item x="106"/>
        <item x="39"/>
        <item x="245"/>
        <item x="143"/>
        <item x="158"/>
        <item x="150"/>
        <item x="31"/>
        <item x="33"/>
        <item x="253"/>
        <item x="313"/>
        <item x="414"/>
        <item x="361"/>
        <item x="370"/>
        <item x="18"/>
        <item x="207"/>
        <item x="152"/>
        <item x="338"/>
        <item x="111"/>
        <item x="76"/>
        <item x="264"/>
        <item x="329"/>
        <item x="102"/>
        <item x="393"/>
        <item x="14"/>
        <item x="223"/>
        <item x="358"/>
        <item x="407"/>
        <item x="341"/>
        <item x="12"/>
        <item x="314"/>
        <item x="399"/>
        <item x="132"/>
        <item x="97"/>
        <item x="417"/>
        <item x="385"/>
        <item x="107"/>
        <item x="93"/>
        <item x="383"/>
        <item x="89"/>
        <item x="306"/>
        <item x="247"/>
        <item x="135"/>
        <item x="54"/>
        <item x="404"/>
        <item x="410"/>
        <item x="268"/>
        <item x="280"/>
        <item x="176"/>
        <item x="160"/>
        <item x="86"/>
        <item x="335"/>
        <item x="173"/>
        <item x="49"/>
        <item x="292"/>
        <item x="257"/>
        <item x="213"/>
        <item x="99"/>
        <item x="172"/>
        <item x="121"/>
        <item x="252"/>
        <item x="148"/>
        <item x="374"/>
        <item x="259"/>
        <item x="212"/>
        <item x="448"/>
        <item x="194"/>
        <item x="413"/>
        <item x="29"/>
        <item x="401"/>
        <item x="47"/>
        <item x="208"/>
        <item x="120"/>
        <item x="56"/>
        <item x="162"/>
        <item x="181"/>
        <item x="222"/>
        <item x="112"/>
        <item x="209"/>
        <item x="284"/>
        <item x="350"/>
        <item x="11"/>
        <item x="136"/>
        <item x="304"/>
        <item x="58"/>
        <item x="231"/>
        <item x="438"/>
        <item x="41"/>
        <item x="206"/>
        <item x="124"/>
        <item t="default"/>
      </items>
    </pivotField>
    <pivotField showAll="0"/>
    <pivotField showAll="0"/>
    <pivotField dataField="1" numFmtId="2" showAll="0"/>
    <pivotField numFmtId="2" showAll="0"/>
    <pivotField showAll="0"/>
    <pivotField numFmtId="2" showAll="0"/>
    <pivotField showAll="0"/>
    <pivotField numFmtId="2" showAll="0"/>
    <pivotField showAll="0"/>
    <pivotField showAll="0"/>
    <pivotField axis="axisRow" showAll="0">
      <items count="9">
        <item x="6"/>
        <item x="7"/>
        <item x="0"/>
        <item x="2"/>
        <item x="3"/>
        <item x="4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5" baseField="0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0A3B9-A397-4835-8456-986E56876FF5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A3:B16" firstHeaderRow="1" firstDataRow="1" firstDataCol="1"/>
  <pivotFields count="24">
    <pivotField showAll="0"/>
    <pivotField showAll="0"/>
    <pivotField numFmtId="168" showAll="0">
      <items count="450">
        <item x="353"/>
        <item x="28"/>
        <item x="309"/>
        <item x="200"/>
        <item x="339"/>
        <item x="320"/>
        <item x="142"/>
        <item x="6"/>
        <item x="363"/>
        <item x="424"/>
        <item x="43"/>
        <item x="434"/>
        <item x="203"/>
        <item x="77"/>
        <item x="373"/>
        <item x="355"/>
        <item x="137"/>
        <item x="389"/>
        <item x="324"/>
        <item x="144"/>
        <item x="303"/>
        <item x="32"/>
        <item x="230"/>
        <item x="250"/>
        <item x="195"/>
        <item x="187"/>
        <item x="287"/>
        <item x="345"/>
        <item x="100"/>
        <item x="337"/>
        <item x="9"/>
        <item x="189"/>
        <item x="192"/>
        <item x="90"/>
        <item x="352"/>
        <item x="411"/>
        <item x="296"/>
        <item x="138"/>
        <item x="87"/>
        <item x="129"/>
        <item x="318"/>
        <item x="110"/>
        <item x="332"/>
        <item x="27"/>
        <item x="344"/>
        <item x="279"/>
        <item x="281"/>
        <item x="227"/>
        <item x="267"/>
        <item x="301"/>
        <item x="151"/>
        <item x="157"/>
        <item x="7"/>
        <item x="265"/>
        <item x="36"/>
        <item x="78"/>
        <item x="21"/>
        <item x="103"/>
        <item x="215"/>
        <item x="109"/>
        <item x="205"/>
        <item x="275"/>
        <item x="347"/>
        <item x="83"/>
        <item x="217"/>
        <item x="447"/>
        <item x="202"/>
        <item x="285"/>
        <item x="403"/>
        <item x="394"/>
        <item x="362"/>
        <item x="146"/>
        <item x="375"/>
        <item x="234"/>
        <item x="378"/>
        <item x="360"/>
        <item x="317"/>
        <item x="356"/>
        <item x="419"/>
        <item x="191"/>
        <item x="53"/>
        <item x="293"/>
        <item x="416"/>
        <item x="25"/>
        <item x="82"/>
        <item x="402"/>
        <item x="190"/>
        <item x="354"/>
        <item x="390"/>
        <item x="406"/>
        <item x="214"/>
        <item x="331"/>
        <item x="211"/>
        <item x="439"/>
        <item x="387"/>
        <item x="258"/>
        <item x="286"/>
        <item x="199"/>
        <item x="62"/>
        <item x="225"/>
        <item x="221"/>
        <item x="91"/>
        <item x="61"/>
        <item x="118"/>
        <item x="333"/>
        <item x="85"/>
        <item x="38"/>
        <item x="115"/>
        <item x="216"/>
        <item x="294"/>
        <item x="65"/>
        <item x="273"/>
        <item x="159"/>
        <item x="139"/>
        <item x="59"/>
        <item x="395"/>
        <item x="445"/>
        <item x="105"/>
        <item x="10"/>
        <item x="388"/>
        <item x="219"/>
        <item x="398"/>
        <item x="232"/>
        <item x="104"/>
        <item x="322"/>
        <item x="397"/>
        <item x="96"/>
        <item x="163"/>
        <item x="63"/>
        <item x="66"/>
        <item x="126"/>
        <item x="396"/>
        <item x="80"/>
        <item x="156"/>
        <item x="155"/>
        <item x="365"/>
        <item x="336"/>
        <item x="241"/>
        <item x="282"/>
        <item x="367"/>
        <item x="263"/>
        <item x="290"/>
        <item x="198"/>
        <item x="161"/>
        <item x="415"/>
        <item x="69"/>
        <item x="254"/>
        <item x="327"/>
        <item x="441"/>
        <item x="95"/>
        <item x="114"/>
        <item x="183"/>
        <item x="108"/>
        <item x="300"/>
        <item x="349"/>
        <item x="210"/>
        <item x="175"/>
        <item x="236"/>
        <item x="326"/>
        <item x="167"/>
        <item x="426"/>
        <item x="67"/>
        <item x="81"/>
        <item x="186"/>
        <item x="13"/>
        <item x="239"/>
        <item x="149"/>
        <item x="238"/>
        <item x="26"/>
        <item x="171"/>
        <item x="30"/>
        <item x="305"/>
        <item x="429"/>
        <item x="432"/>
        <item x="17"/>
        <item x="357"/>
        <item x="391"/>
        <item x="261"/>
        <item x="113"/>
        <item x="168"/>
        <item x="430"/>
        <item x="366"/>
        <item x="52"/>
        <item x="154"/>
        <item x="92"/>
        <item x="433"/>
        <item x="123"/>
        <item x="201"/>
        <item x="37"/>
        <item x="140"/>
        <item x="182"/>
        <item x="70"/>
        <item x="42"/>
        <item x="233"/>
        <item x="319"/>
        <item x="271"/>
        <item x="249"/>
        <item x="0"/>
        <item x="180"/>
        <item x="382"/>
        <item x="24"/>
        <item x="169"/>
        <item x="386"/>
        <item x="141"/>
        <item x="274"/>
        <item x="260"/>
        <item x="240"/>
        <item x="359"/>
        <item x="177"/>
        <item x="283"/>
        <item x="75"/>
        <item x="443"/>
        <item x="145"/>
        <item x="226"/>
        <item x="323"/>
        <item x="228"/>
        <item x="312"/>
        <item x="420"/>
        <item x="166"/>
        <item x="8"/>
        <item x="444"/>
        <item x="346"/>
        <item x="270"/>
        <item x="19"/>
        <item x="23"/>
        <item x="131"/>
        <item x="35"/>
        <item x="348"/>
        <item x="73"/>
        <item x="427"/>
        <item x="220"/>
        <item x="119"/>
        <item x="384"/>
        <item x="442"/>
        <item x="40"/>
        <item x="342"/>
        <item x="308"/>
        <item x="381"/>
        <item x="153"/>
        <item x="127"/>
        <item x="316"/>
        <item x="277"/>
        <item x="237"/>
        <item x="377"/>
        <item x="235"/>
        <item x="321"/>
        <item x="422"/>
        <item x="84"/>
        <item x="45"/>
        <item x="405"/>
        <item x="122"/>
        <item x="134"/>
        <item x="224"/>
        <item x="418"/>
        <item x="5"/>
        <item x="340"/>
        <item x="60"/>
        <item x="440"/>
        <item x="20"/>
        <item x="412"/>
        <item x="299"/>
        <item x="51"/>
        <item x="165"/>
        <item x="196"/>
        <item x="278"/>
        <item x="133"/>
        <item x="334"/>
        <item x="435"/>
        <item x="364"/>
        <item x="88"/>
        <item x="50"/>
        <item x="248"/>
        <item x="22"/>
        <item x="243"/>
        <item x="34"/>
        <item x="428"/>
        <item x="369"/>
        <item x="446"/>
        <item x="256"/>
        <item x="68"/>
        <item x="57"/>
        <item x="376"/>
        <item x="310"/>
        <item x="74"/>
        <item x="380"/>
        <item x="48"/>
        <item x="2"/>
        <item x="246"/>
        <item x="311"/>
        <item x="276"/>
        <item x="164"/>
        <item x="436"/>
        <item x="55"/>
        <item x="423"/>
        <item x="298"/>
        <item x="421"/>
        <item x="117"/>
        <item x="295"/>
        <item x="302"/>
        <item x="116"/>
        <item x="128"/>
        <item x="343"/>
        <item x="193"/>
        <item x="297"/>
        <item x="371"/>
        <item x="392"/>
        <item x="179"/>
        <item x="64"/>
        <item x="170"/>
        <item x="16"/>
        <item x="125"/>
        <item x="185"/>
        <item x="218"/>
        <item x="147"/>
        <item x="242"/>
        <item x="409"/>
        <item x="174"/>
        <item x="266"/>
        <item x="289"/>
        <item x="184"/>
        <item x="130"/>
        <item x="372"/>
        <item x="15"/>
        <item x="3"/>
        <item x="368"/>
        <item x="262"/>
        <item x="44"/>
        <item x="269"/>
        <item x="4"/>
        <item x="437"/>
        <item x="101"/>
        <item x="197"/>
        <item x="204"/>
        <item x="288"/>
        <item x="408"/>
        <item x="79"/>
        <item x="431"/>
        <item x="229"/>
        <item x="251"/>
        <item x="71"/>
        <item x="379"/>
        <item x="178"/>
        <item x="425"/>
        <item x="400"/>
        <item x="46"/>
        <item x="315"/>
        <item x="255"/>
        <item x="272"/>
        <item x="325"/>
        <item x="351"/>
        <item x="330"/>
        <item x="291"/>
        <item x="307"/>
        <item x="188"/>
        <item x="328"/>
        <item x="244"/>
        <item x="98"/>
        <item x="72"/>
        <item x="94"/>
        <item x="1"/>
        <item x="106"/>
        <item x="39"/>
        <item x="245"/>
        <item x="143"/>
        <item x="158"/>
        <item x="150"/>
        <item x="31"/>
        <item x="33"/>
        <item x="253"/>
        <item x="313"/>
        <item x="414"/>
        <item x="361"/>
        <item x="370"/>
        <item x="18"/>
        <item x="207"/>
        <item x="152"/>
        <item x="338"/>
        <item x="111"/>
        <item x="76"/>
        <item x="264"/>
        <item x="329"/>
        <item x="102"/>
        <item x="393"/>
        <item x="14"/>
        <item x="223"/>
        <item x="358"/>
        <item x="407"/>
        <item x="341"/>
        <item x="12"/>
        <item x="314"/>
        <item x="399"/>
        <item x="132"/>
        <item x="97"/>
        <item x="417"/>
        <item x="385"/>
        <item x="107"/>
        <item x="93"/>
        <item x="383"/>
        <item x="89"/>
        <item x="306"/>
        <item x="247"/>
        <item x="135"/>
        <item x="54"/>
        <item x="404"/>
        <item x="410"/>
        <item x="268"/>
        <item x="280"/>
        <item x="176"/>
        <item x="160"/>
        <item x="86"/>
        <item x="335"/>
        <item x="173"/>
        <item x="49"/>
        <item x="292"/>
        <item x="257"/>
        <item x="213"/>
        <item x="99"/>
        <item x="172"/>
        <item x="121"/>
        <item x="252"/>
        <item x="148"/>
        <item x="374"/>
        <item x="259"/>
        <item x="212"/>
        <item x="448"/>
        <item x="194"/>
        <item x="413"/>
        <item x="29"/>
        <item x="401"/>
        <item x="47"/>
        <item x="208"/>
        <item x="120"/>
        <item x="56"/>
        <item x="162"/>
        <item x="181"/>
        <item x="222"/>
        <item x="112"/>
        <item x="209"/>
        <item x="284"/>
        <item x="350"/>
        <item x="11"/>
        <item x="136"/>
        <item x="304"/>
        <item x="58"/>
        <item x="231"/>
        <item x="438"/>
        <item x="41"/>
        <item x="206"/>
        <item x="124"/>
        <item t="default"/>
      </items>
    </pivotField>
    <pivotField showAll="0"/>
    <pivotField showAll="0"/>
    <pivotField dataField="1" numFmtId="2" showAll="0"/>
    <pivotField numFmtId="2"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5" baseField="0" baseItem="0" numFmtId="2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37D520-42F2-45A5-B84F-4B189CD4F245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Order Priority" tableColumnId="4"/>
      <queryTableField id="5" name="Order Quantity" tableColumnId="5"/>
      <queryTableField id="6" name="Sales" tableColumnId="6"/>
      <queryTableField id="7" name="Discount" tableColumnId="7"/>
      <queryTableField id="8" name="Ship Mode" tableColumnId="8"/>
      <queryTableField id="9" name="Profit" tableColumnId="9"/>
      <queryTableField id="10" name="Unit Price" tableColumnId="10"/>
      <queryTableField id="11" name="Shipping Cost" tableColumnId="11"/>
      <queryTableField id="12" name="Customer Name" tableColumnId="12"/>
      <queryTableField id="13" name="Province" tableColumnId="13"/>
      <queryTableField id="14" name="Region" tableColumnId="14"/>
      <queryTableField id="15" name="Customer Segment" tableColumnId="15"/>
      <queryTableField id="16" name="Product Category" tableColumnId="16"/>
      <queryTableField id="17" name="Product Sub-Category" tableColumnId="17"/>
      <queryTableField id="18" name="Product Name" tableColumnId="18"/>
      <queryTableField id="19" name="Product Container" tableColumnId="19"/>
      <queryTableField id="20" name="Product Base Margin" tableColumnId="20"/>
      <queryTableField id="21" name="Ship Dat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4E83A8-9F38-4131-A34E-7B4E4C5F5160}" name="Sheet1" displayName="Sheet1" ref="A1:U554" tableType="queryTable" totalsRowShown="0" headerRowDxfId="12" dataDxfId="11">
  <tableColumns count="21">
    <tableColumn id="1" xr3:uid="{8021E7A9-2289-4491-A39F-122E7E65AC98}" uniqueName="1" name="Row ID" queryTableFieldId="1" dataDxfId="24"/>
    <tableColumn id="2" xr3:uid="{B2EC67D3-26DD-4F00-96EA-BF4E66E366EE}" uniqueName="2" name="Order_ID" queryTableFieldId="2" dataDxfId="23"/>
    <tableColumn id="3" xr3:uid="{05F8C921-F432-460C-AF44-49CE0089422C}" uniqueName="3" name="Order_Date" queryTableFieldId="3" dataDxfId="2"/>
    <tableColumn id="4" xr3:uid="{B4F80A33-7897-4752-A0A7-A5C7B9B9B697}" uniqueName="4" name="Order Priority" queryTableFieldId="4" dataDxfId="22"/>
    <tableColumn id="5" xr3:uid="{5C9A3F91-9767-4F41-81D1-CE79E386EDC7}" uniqueName="5" name="Order Quantity" queryTableFieldId="5" dataDxfId="10"/>
    <tableColumn id="6" xr3:uid="{F452FF6F-1D93-45F8-BC1B-320889A26A56}" uniqueName="6" name="Sales" queryTableFieldId="6" dataDxfId="8"/>
    <tableColumn id="7" xr3:uid="{502417BA-BE9F-4207-8C45-9078F3ABF482}" uniqueName="7" name="Discount" queryTableFieldId="7" dataDxfId="6"/>
    <tableColumn id="8" xr3:uid="{FEE7CECB-5909-4406-B5FA-15E70BB896C7}" uniqueName="8" name="Ship_Mode" queryTableFieldId="8" dataDxfId="7"/>
    <tableColumn id="9" xr3:uid="{2E812A23-EAE2-46FD-A9C8-FA8AE16309BE}" uniqueName="9" name="Profit" queryTableFieldId="9" dataDxfId="9"/>
    <tableColumn id="10" xr3:uid="{E85D373E-98B6-4952-A614-8D748F267FD2}" uniqueName="10" name="Unit Price" queryTableFieldId="10" dataDxfId="5"/>
    <tableColumn id="11" xr3:uid="{C111B34D-2088-4CB5-A27A-BC698D126EAB}" uniqueName="11" name="Shipping_Cost" queryTableFieldId="11" dataDxfId="3"/>
    <tableColumn id="12" xr3:uid="{6112A8F6-FAC5-4A06-AD20-3931E1D6951D}" uniqueName="12" name="Customer Name" queryTableFieldId="12" dataDxfId="4"/>
    <tableColumn id="13" xr3:uid="{CD296484-1231-496C-8BA7-29B2F75E44A2}" uniqueName="13" name="Province" queryTableFieldId="13" dataDxfId="21"/>
    <tableColumn id="14" xr3:uid="{BA5F3F82-EF90-4B47-A7BC-BCA1BB75315A}" uniqueName="14" name="Region" queryTableFieldId="14" dataDxfId="20"/>
    <tableColumn id="15" xr3:uid="{45B7788B-3C54-4B2A-BBC6-95321B53D163}" uniqueName="15" name="Customer Segment" queryTableFieldId="15" dataDxfId="19"/>
    <tableColumn id="16" xr3:uid="{E5DB6FD2-72DB-4ABF-B830-40D087BAB013}" uniqueName="16" name=" Category" queryTableFieldId="16" dataDxfId="18"/>
    <tableColumn id="17" xr3:uid="{5CE43786-FFBB-4608-B8D4-33B6839D9661}" uniqueName="17" name=" Sub-Category" queryTableFieldId="17" dataDxfId="17"/>
    <tableColumn id="18" xr3:uid="{D6406E3F-2665-4A1D-8125-C5DC2E724CBC}" uniqueName="18" name="Product Name" queryTableFieldId="18" dataDxfId="16"/>
    <tableColumn id="19" xr3:uid="{4A935EBE-4D55-4679-9C50-CEBCE7A10040}" uniqueName="19" name="Product Container" queryTableFieldId="19" dataDxfId="15"/>
    <tableColumn id="20" xr3:uid="{CCD952B4-412F-43B0-8BF1-B82A6918C5D3}" uniqueName="20" name="Base_Margin" queryTableFieldId="20" dataDxfId="14"/>
    <tableColumn id="21" xr3:uid="{DB2835E7-4D84-4659-BC9A-802EE5904BD4}" uniqueName="21" name="Ship Date" queryTableFieldId="21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077D9D-D161-49BB-B7C1-EFA991A601E3}" name="Table2" displayName="Table2" ref="X6:Y11" totalsRowShown="0">
  <tableColumns count="2">
    <tableColumn id="1" xr3:uid="{FA0E93DA-EEE1-40DA-B2F7-017EC946EE2F}" name="DATA ANALYSIS" dataDxfId="1"/>
    <tableColumn id="2" xr3:uid="{69173054-A643-4384-A5F9-93EE08EBF839}" name="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6FCC-4F7E-4C24-9F76-07915037D5A3}">
  <dimension ref="A1:Z8400"/>
  <sheetViews>
    <sheetView tabSelected="1" topLeftCell="R1" workbookViewId="0">
      <selection activeCell="Y16" sqref="Y16"/>
    </sheetView>
  </sheetViews>
  <sheetFormatPr defaultRowHeight="14.4"/>
  <cols>
    <col min="1" max="1" width="8.77734375" bestFit="1" customWidth="1"/>
    <col min="2" max="2" width="10.109375" bestFit="1" customWidth="1"/>
    <col min="3" max="3" width="16.5546875" style="1" bestFit="1" customWidth="1"/>
    <col min="4" max="4" width="14.44140625" bestFit="1" customWidth="1"/>
    <col min="5" max="5" width="15.5546875" bestFit="1" customWidth="1"/>
    <col min="6" max="6" width="10" bestFit="1" customWidth="1"/>
    <col min="7" max="7" width="10.5546875" bestFit="1" customWidth="1"/>
    <col min="8" max="8" width="12.109375" bestFit="1" customWidth="1"/>
    <col min="9" max="9" width="9.6640625" bestFit="1" customWidth="1"/>
    <col min="10" max="10" width="11.33203125" bestFit="1" customWidth="1"/>
    <col min="11" max="11" width="14.6640625" bestFit="1" customWidth="1"/>
    <col min="12" max="12" width="20.33203125" bestFit="1" customWidth="1"/>
    <col min="13" max="14" width="18.109375" bestFit="1" customWidth="1"/>
    <col min="15" max="15" width="19.109375" bestFit="1" customWidth="1"/>
    <col min="16" max="16" width="17.5546875" bestFit="1" customWidth="1"/>
    <col min="17" max="17" width="27.109375" bestFit="1" customWidth="1"/>
    <col min="18" max="18" width="80.88671875" bestFit="1" customWidth="1"/>
    <col min="19" max="19" width="18.33203125" bestFit="1" customWidth="1"/>
    <col min="20" max="20" width="20.21875" bestFit="1" customWidth="1"/>
    <col min="21" max="21" width="11.21875" bestFit="1" customWidth="1"/>
    <col min="24" max="24" width="27" customWidth="1"/>
    <col min="25" max="25" width="10.33203125" customWidth="1"/>
  </cols>
  <sheetData>
    <row r="1" spans="1:26">
      <c r="A1" s="2" t="s">
        <v>0</v>
      </c>
      <c r="B1" s="2" t="s">
        <v>1166</v>
      </c>
      <c r="C1" s="6" t="s">
        <v>1167</v>
      </c>
      <c r="D1" s="2" t="s">
        <v>1</v>
      </c>
      <c r="E1" s="2" t="s">
        <v>2</v>
      </c>
      <c r="F1" s="5" t="s">
        <v>3</v>
      </c>
      <c r="G1" s="5" t="s">
        <v>4</v>
      </c>
      <c r="H1" s="2" t="s">
        <v>1168</v>
      </c>
      <c r="I1" s="5" t="s">
        <v>5</v>
      </c>
      <c r="J1" s="2" t="s">
        <v>6</v>
      </c>
      <c r="K1" s="5" t="s">
        <v>1172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1169</v>
      </c>
      <c r="Q1" s="2" t="s">
        <v>1170</v>
      </c>
      <c r="R1" s="2" t="s">
        <v>11</v>
      </c>
      <c r="S1" s="2" t="s">
        <v>12</v>
      </c>
      <c r="T1" s="2" t="s">
        <v>1171</v>
      </c>
      <c r="U1" s="3" t="s">
        <v>13</v>
      </c>
    </row>
    <row r="2" spans="1:26">
      <c r="A2" s="2">
        <v>1</v>
      </c>
      <c r="B2" s="2">
        <v>3</v>
      </c>
      <c r="C2" s="6">
        <v>40464</v>
      </c>
      <c r="D2" s="4" t="s">
        <v>14</v>
      </c>
      <c r="E2" s="2">
        <v>6</v>
      </c>
      <c r="F2" s="5">
        <v>261.54000000000002</v>
      </c>
      <c r="G2" s="5">
        <v>0.04</v>
      </c>
      <c r="H2" s="4" t="s">
        <v>15</v>
      </c>
      <c r="I2" s="5">
        <v>-213.25</v>
      </c>
      <c r="J2" s="2">
        <v>38.94</v>
      </c>
      <c r="K2" s="5">
        <v>35</v>
      </c>
      <c r="L2" s="4" t="s">
        <v>16</v>
      </c>
      <c r="M2" s="4" t="s">
        <v>17</v>
      </c>
      <c r="N2" s="4" t="s">
        <v>17</v>
      </c>
      <c r="O2" s="4" t="s">
        <v>18</v>
      </c>
      <c r="P2" s="4" t="s">
        <v>19</v>
      </c>
      <c r="Q2" s="4" t="s">
        <v>20</v>
      </c>
      <c r="R2" s="2" t="s">
        <v>21</v>
      </c>
      <c r="S2" s="4" t="s">
        <v>22</v>
      </c>
      <c r="T2" s="2">
        <v>0.8</v>
      </c>
      <c r="U2" s="3">
        <v>40471</v>
      </c>
    </row>
    <row r="3" spans="1:26">
      <c r="A3" s="2">
        <v>2</v>
      </c>
      <c r="B3" s="2">
        <v>6</v>
      </c>
      <c r="C3" s="6">
        <v>40959</v>
      </c>
      <c r="D3" s="4" t="s">
        <v>23</v>
      </c>
      <c r="E3" s="2">
        <v>2</v>
      </c>
      <c r="F3" s="5">
        <v>6.93</v>
      </c>
      <c r="G3" s="5">
        <v>0.01</v>
      </c>
      <c r="H3" s="4" t="s">
        <v>15</v>
      </c>
      <c r="I3" s="5">
        <v>-4.6399999999999997</v>
      </c>
      <c r="J3" s="2">
        <v>2.08</v>
      </c>
      <c r="K3" s="5">
        <v>2.56</v>
      </c>
      <c r="L3" s="4" t="s">
        <v>24</v>
      </c>
      <c r="M3" s="4" t="s">
        <v>25</v>
      </c>
      <c r="N3" s="4" t="s">
        <v>26</v>
      </c>
      <c r="O3" s="4" t="s">
        <v>27</v>
      </c>
      <c r="P3" s="4" t="s">
        <v>19</v>
      </c>
      <c r="Q3" s="4" t="s">
        <v>28</v>
      </c>
      <c r="R3" s="2" t="s">
        <v>29</v>
      </c>
      <c r="S3" s="4" t="s">
        <v>30</v>
      </c>
      <c r="T3" s="2">
        <v>0.55000000000000004</v>
      </c>
      <c r="U3" s="3">
        <v>40960</v>
      </c>
    </row>
    <row r="4" spans="1:26">
      <c r="A4" s="2">
        <v>3</v>
      </c>
      <c r="B4" s="2">
        <v>32</v>
      </c>
      <c r="C4" s="6">
        <v>40739</v>
      </c>
      <c r="D4" s="4" t="s">
        <v>31</v>
      </c>
      <c r="E4" s="2">
        <v>26</v>
      </c>
      <c r="F4" s="5">
        <v>2808.08</v>
      </c>
      <c r="G4" s="5">
        <v>7.0000000000000007E-2</v>
      </c>
      <c r="H4" s="4" t="s">
        <v>15</v>
      </c>
      <c r="I4" s="5">
        <v>1054.82</v>
      </c>
      <c r="J4" s="2">
        <v>107.53</v>
      </c>
      <c r="K4" s="5">
        <v>5.81</v>
      </c>
      <c r="L4" s="4" t="s">
        <v>32</v>
      </c>
      <c r="M4" s="4" t="s">
        <v>25</v>
      </c>
      <c r="N4" s="4" t="s">
        <v>26</v>
      </c>
      <c r="O4" s="4" t="s">
        <v>27</v>
      </c>
      <c r="P4" s="4" t="s">
        <v>33</v>
      </c>
      <c r="Q4" s="4" t="s">
        <v>34</v>
      </c>
      <c r="R4" s="2" t="s">
        <v>35</v>
      </c>
      <c r="S4" s="4" t="s">
        <v>36</v>
      </c>
      <c r="T4" s="2">
        <v>0.65</v>
      </c>
      <c r="U4" s="3">
        <v>40741</v>
      </c>
    </row>
    <row r="5" spans="1:26">
      <c r="A5" s="2">
        <v>7</v>
      </c>
      <c r="B5" s="2">
        <v>35</v>
      </c>
      <c r="C5" s="6">
        <v>40838</v>
      </c>
      <c r="D5" s="4" t="s">
        <v>23</v>
      </c>
      <c r="E5" s="2">
        <v>30</v>
      </c>
      <c r="F5" s="5">
        <v>288.56</v>
      </c>
      <c r="G5" s="5">
        <v>0.03</v>
      </c>
      <c r="H5" s="4" t="s">
        <v>15</v>
      </c>
      <c r="I5" s="5">
        <v>60.72</v>
      </c>
      <c r="J5" s="2">
        <v>9.11</v>
      </c>
      <c r="K5" s="5">
        <v>2.25</v>
      </c>
      <c r="L5" s="4" t="s">
        <v>46</v>
      </c>
      <c r="M5" s="4" t="s">
        <v>47</v>
      </c>
      <c r="N5" s="4" t="s">
        <v>26</v>
      </c>
      <c r="O5" s="4" t="s">
        <v>27</v>
      </c>
      <c r="P5" s="4" t="s">
        <v>19</v>
      </c>
      <c r="Q5" s="4" t="s">
        <v>48</v>
      </c>
      <c r="R5" s="2" t="s">
        <v>49</v>
      </c>
      <c r="S5" s="4" t="s">
        <v>50</v>
      </c>
      <c r="T5" s="2">
        <v>0.52</v>
      </c>
      <c r="U5" s="3">
        <v>40839</v>
      </c>
    </row>
    <row r="6" spans="1:26">
      <c r="A6" s="2">
        <v>9</v>
      </c>
      <c r="B6" s="2">
        <v>36</v>
      </c>
      <c r="C6" s="6">
        <v>40849</v>
      </c>
      <c r="D6" s="4" t="s">
        <v>52</v>
      </c>
      <c r="E6" s="2">
        <v>46</v>
      </c>
      <c r="F6" s="5">
        <v>2484.7455</v>
      </c>
      <c r="G6" s="5">
        <v>0.1</v>
      </c>
      <c r="H6" s="4" t="s">
        <v>15</v>
      </c>
      <c r="I6" s="5">
        <v>657.48</v>
      </c>
      <c r="J6" s="2">
        <v>65.989999999999995</v>
      </c>
      <c r="K6" s="5">
        <v>4.2</v>
      </c>
      <c r="L6" s="4" t="s">
        <v>53</v>
      </c>
      <c r="M6" s="4" t="s">
        <v>25</v>
      </c>
      <c r="N6" s="4" t="s">
        <v>26</v>
      </c>
      <c r="O6" s="4" t="s">
        <v>54</v>
      </c>
      <c r="P6" s="4" t="s">
        <v>40</v>
      </c>
      <c r="Q6" s="4" t="s">
        <v>41</v>
      </c>
      <c r="R6" s="2" t="s">
        <v>55</v>
      </c>
      <c r="S6" s="4" t="s">
        <v>51</v>
      </c>
      <c r="T6" s="2">
        <v>0.55000000000000004</v>
      </c>
      <c r="U6" s="3">
        <v>40849</v>
      </c>
      <c r="X6" t="s">
        <v>1197</v>
      </c>
      <c r="Y6" t="s">
        <v>1198</v>
      </c>
    </row>
    <row r="7" spans="1:26">
      <c r="A7" s="2">
        <v>10</v>
      </c>
      <c r="B7" s="2">
        <v>65</v>
      </c>
      <c r="C7" s="6">
        <v>40619</v>
      </c>
      <c r="D7" s="4" t="s">
        <v>52</v>
      </c>
      <c r="E7" s="2">
        <v>32</v>
      </c>
      <c r="F7" s="5">
        <v>3812.73</v>
      </c>
      <c r="G7" s="5">
        <v>0.02</v>
      </c>
      <c r="H7" s="4" t="s">
        <v>15</v>
      </c>
      <c r="I7" s="5">
        <v>1470.3</v>
      </c>
      <c r="J7" s="2">
        <v>115.79</v>
      </c>
      <c r="K7" s="5">
        <v>1.99</v>
      </c>
      <c r="L7" s="4" t="s">
        <v>56</v>
      </c>
      <c r="M7" s="4" t="s">
        <v>57</v>
      </c>
      <c r="N7" s="4" t="s">
        <v>57</v>
      </c>
      <c r="O7" s="4" t="s">
        <v>27</v>
      </c>
      <c r="P7" s="4" t="s">
        <v>40</v>
      </c>
      <c r="Q7" s="4" t="s">
        <v>45</v>
      </c>
      <c r="R7" s="2" t="s">
        <v>58</v>
      </c>
      <c r="S7" s="4" t="s">
        <v>30</v>
      </c>
      <c r="T7" s="2">
        <v>0.49</v>
      </c>
      <c r="U7" s="3">
        <v>40620</v>
      </c>
      <c r="X7" s="10" t="s">
        <v>1191</v>
      </c>
      <c r="Y7" s="12">
        <v>873750.26599999995</v>
      </c>
      <c r="Z7" s="10"/>
    </row>
    <row r="8" spans="1:26">
      <c r="A8" s="2">
        <v>11</v>
      </c>
      <c r="B8" s="2">
        <v>66</v>
      </c>
      <c r="C8" s="6">
        <v>39832</v>
      </c>
      <c r="D8" s="4" t="s">
        <v>14</v>
      </c>
      <c r="E8" s="2">
        <v>41</v>
      </c>
      <c r="F8" s="5">
        <v>108.15</v>
      </c>
      <c r="G8" s="5">
        <v>0.09</v>
      </c>
      <c r="H8" s="4" t="s">
        <v>15</v>
      </c>
      <c r="I8" s="5">
        <v>7.57</v>
      </c>
      <c r="J8" s="2">
        <v>2.88</v>
      </c>
      <c r="K8" s="5">
        <v>0.7</v>
      </c>
      <c r="L8" s="4" t="s">
        <v>59</v>
      </c>
      <c r="M8" s="4" t="s">
        <v>25</v>
      </c>
      <c r="N8" s="4" t="s">
        <v>26</v>
      </c>
      <c r="O8" s="4" t="s">
        <v>60</v>
      </c>
      <c r="P8" s="4" t="s">
        <v>19</v>
      </c>
      <c r="Q8" s="4" t="s">
        <v>48</v>
      </c>
      <c r="R8" s="2" t="s">
        <v>61</v>
      </c>
      <c r="S8" s="4" t="s">
        <v>50</v>
      </c>
      <c r="T8" s="2">
        <v>0.56000000000000005</v>
      </c>
      <c r="U8" s="3">
        <v>39832</v>
      </c>
      <c r="X8" s="10" t="s">
        <v>1192</v>
      </c>
      <c r="Y8" s="12">
        <v>86050.320000000022</v>
      </c>
    </row>
    <row r="9" spans="1:26">
      <c r="A9" s="2">
        <v>12</v>
      </c>
      <c r="B9" s="2">
        <v>69</v>
      </c>
      <c r="C9" s="6">
        <v>39967</v>
      </c>
      <c r="D9" s="4" t="s">
        <v>23</v>
      </c>
      <c r="E9" s="2">
        <v>42</v>
      </c>
      <c r="F9" s="5">
        <v>1186.06</v>
      </c>
      <c r="G9" s="5">
        <v>0.09</v>
      </c>
      <c r="H9" s="4" t="s">
        <v>15</v>
      </c>
      <c r="I9" s="5">
        <v>511.69</v>
      </c>
      <c r="J9" s="2">
        <v>30.93</v>
      </c>
      <c r="K9" s="5">
        <v>3.92</v>
      </c>
      <c r="L9" s="4" t="s">
        <v>62</v>
      </c>
      <c r="M9" s="4" t="s">
        <v>43</v>
      </c>
      <c r="N9" s="4" t="s">
        <v>44</v>
      </c>
      <c r="O9" s="4" t="s">
        <v>27</v>
      </c>
      <c r="P9" s="4" t="s">
        <v>33</v>
      </c>
      <c r="Q9" s="4" t="s">
        <v>34</v>
      </c>
      <c r="R9" s="2" t="s">
        <v>63</v>
      </c>
      <c r="S9" s="4" t="s">
        <v>30</v>
      </c>
      <c r="T9" s="2">
        <v>0.44</v>
      </c>
      <c r="U9" s="3">
        <v>39969</v>
      </c>
      <c r="X9" s="10" t="s">
        <v>1193</v>
      </c>
      <c r="Y9" s="11">
        <v>553</v>
      </c>
    </row>
    <row r="10" spans="1:26">
      <c r="A10" s="2">
        <v>14</v>
      </c>
      <c r="B10" s="2">
        <v>70</v>
      </c>
      <c r="C10" s="6">
        <v>40529</v>
      </c>
      <c r="D10" s="4" t="s">
        <v>14</v>
      </c>
      <c r="E10" s="2">
        <v>48</v>
      </c>
      <c r="F10" s="5">
        <v>90.05</v>
      </c>
      <c r="G10" s="5">
        <v>0.03</v>
      </c>
      <c r="H10" s="4" t="s">
        <v>15</v>
      </c>
      <c r="I10" s="5">
        <v>-107</v>
      </c>
      <c r="J10" s="2">
        <v>1.86</v>
      </c>
      <c r="K10" s="5">
        <v>2.58</v>
      </c>
      <c r="L10" s="4" t="s">
        <v>65</v>
      </c>
      <c r="M10" s="4" t="s">
        <v>66</v>
      </c>
      <c r="N10" s="4" t="s">
        <v>66</v>
      </c>
      <c r="O10" s="4" t="s">
        <v>54</v>
      </c>
      <c r="P10" s="4" t="s">
        <v>19</v>
      </c>
      <c r="Q10" s="4" t="s">
        <v>67</v>
      </c>
      <c r="R10" s="2" t="s">
        <v>68</v>
      </c>
      <c r="S10" s="4" t="s">
        <v>50</v>
      </c>
      <c r="T10" s="2">
        <v>0.82</v>
      </c>
      <c r="U10" s="3">
        <v>40534</v>
      </c>
      <c r="X10" s="10" t="s">
        <v>1194</v>
      </c>
      <c r="Y10" s="12">
        <v>4.909584086799277E-2</v>
      </c>
    </row>
    <row r="11" spans="1:26">
      <c r="A11" s="2">
        <v>16</v>
      </c>
      <c r="B11" s="2">
        <v>96</v>
      </c>
      <c r="C11" s="6">
        <v>39919</v>
      </c>
      <c r="D11" s="4" t="s">
        <v>31</v>
      </c>
      <c r="E11" s="2">
        <v>37</v>
      </c>
      <c r="F11" s="5">
        <v>4158.1234999999997</v>
      </c>
      <c r="G11" s="5">
        <v>0.01</v>
      </c>
      <c r="H11" s="4" t="s">
        <v>15</v>
      </c>
      <c r="I11" s="5">
        <v>1228.8900000000001</v>
      </c>
      <c r="J11" s="2">
        <v>125.99</v>
      </c>
      <c r="K11" s="5">
        <v>8.99</v>
      </c>
      <c r="L11" s="4" t="s">
        <v>69</v>
      </c>
      <c r="M11" s="4" t="s">
        <v>70</v>
      </c>
      <c r="N11" s="4" t="s">
        <v>44</v>
      </c>
      <c r="O11" s="4" t="s">
        <v>54</v>
      </c>
      <c r="P11" s="4" t="s">
        <v>40</v>
      </c>
      <c r="Q11" s="4" t="s">
        <v>41</v>
      </c>
      <c r="R11" s="2" t="s">
        <v>71</v>
      </c>
      <c r="S11" s="4" t="s">
        <v>51</v>
      </c>
      <c r="T11" s="2">
        <v>0.55000000000000004</v>
      </c>
      <c r="U11" s="3">
        <v>39921</v>
      </c>
      <c r="X11" s="10" t="s">
        <v>1195</v>
      </c>
      <c r="Y11" s="12">
        <v>7044.4899999999889</v>
      </c>
    </row>
    <row r="12" spans="1:26">
      <c r="A12" s="2">
        <v>17</v>
      </c>
      <c r="B12" s="2">
        <v>97</v>
      </c>
      <c r="C12" s="6">
        <v>40206</v>
      </c>
      <c r="D12" s="4" t="s">
        <v>72</v>
      </c>
      <c r="E12" s="2">
        <v>26</v>
      </c>
      <c r="F12" s="5">
        <v>75.569999999999993</v>
      </c>
      <c r="G12" s="5">
        <v>0.03</v>
      </c>
      <c r="H12" s="4" t="s">
        <v>15</v>
      </c>
      <c r="I12" s="5">
        <v>28.24</v>
      </c>
      <c r="J12" s="2">
        <v>2.89</v>
      </c>
      <c r="K12" s="5">
        <v>0.5</v>
      </c>
      <c r="L12" s="4" t="s">
        <v>73</v>
      </c>
      <c r="M12" s="4" t="s">
        <v>74</v>
      </c>
      <c r="N12" s="4" t="s">
        <v>74</v>
      </c>
      <c r="O12" s="4" t="s">
        <v>60</v>
      </c>
      <c r="P12" s="4" t="s">
        <v>19</v>
      </c>
      <c r="Q12" s="4" t="s">
        <v>75</v>
      </c>
      <c r="R12" s="2" t="s">
        <v>76</v>
      </c>
      <c r="S12" s="4" t="s">
        <v>51</v>
      </c>
      <c r="T12" s="2">
        <v>0.38</v>
      </c>
      <c r="U12" s="3">
        <v>40207</v>
      </c>
    </row>
    <row r="13" spans="1:26">
      <c r="A13" s="2">
        <v>18</v>
      </c>
      <c r="B13" s="2">
        <v>129</v>
      </c>
      <c r="C13" s="6">
        <v>41231</v>
      </c>
      <c r="D13" s="4" t="s">
        <v>14</v>
      </c>
      <c r="E13" s="2">
        <v>4</v>
      </c>
      <c r="F13" s="5">
        <v>32.72</v>
      </c>
      <c r="G13" s="5">
        <v>0.09</v>
      </c>
      <c r="H13" s="4" t="s">
        <v>15</v>
      </c>
      <c r="I13" s="5">
        <v>-22.59</v>
      </c>
      <c r="J13" s="2">
        <v>6.48</v>
      </c>
      <c r="K13" s="5">
        <v>8.19</v>
      </c>
      <c r="L13" s="4" t="s">
        <v>77</v>
      </c>
      <c r="M13" s="4" t="s">
        <v>57</v>
      </c>
      <c r="N13" s="4" t="s">
        <v>57</v>
      </c>
      <c r="O13" s="4" t="s">
        <v>27</v>
      </c>
      <c r="P13" s="4" t="s">
        <v>19</v>
      </c>
      <c r="Q13" s="4" t="s">
        <v>78</v>
      </c>
      <c r="R13" s="2" t="s">
        <v>79</v>
      </c>
      <c r="S13" s="4" t="s">
        <v>51</v>
      </c>
      <c r="T13" s="2">
        <v>0.37</v>
      </c>
      <c r="U13" s="3">
        <v>41240</v>
      </c>
    </row>
    <row r="14" spans="1:26">
      <c r="A14" s="2">
        <v>19</v>
      </c>
      <c r="B14" s="2">
        <v>130</v>
      </c>
      <c r="C14" s="6">
        <v>41036</v>
      </c>
      <c r="D14" s="4" t="s">
        <v>31</v>
      </c>
      <c r="E14" s="2">
        <v>3</v>
      </c>
      <c r="F14" s="5">
        <v>461.89</v>
      </c>
      <c r="G14" s="5">
        <v>0.05</v>
      </c>
      <c r="H14" s="4" t="s">
        <v>64</v>
      </c>
      <c r="I14" s="5">
        <v>-309.82</v>
      </c>
      <c r="J14" s="2">
        <v>150.97999999999999</v>
      </c>
      <c r="K14" s="5">
        <v>13.99</v>
      </c>
      <c r="L14" s="4" t="s">
        <v>80</v>
      </c>
      <c r="M14" s="4" t="s">
        <v>43</v>
      </c>
      <c r="N14" s="4" t="s">
        <v>44</v>
      </c>
      <c r="O14" s="4" t="s">
        <v>27</v>
      </c>
      <c r="P14" s="4" t="s">
        <v>40</v>
      </c>
      <c r="Q14" s="4" t="s">
        <v>81</v>
      </c>
      <c r="R14" s="2" t="s">
        <v>82</v>
      </c>
      <c r="S14" s="4" t="s">
        <v>36</v>
      </c>
      <c r="T14" s="2">
        <v>0.38</v>
      </c>
      <c r="U14" s="3">
        <v>41038</v>
      </c>
    </row>
    <row r="15" spans="1:26">
      <c r="A15" s="2">
        <v>22</v>
      </c>
      <c r="B15" s="2">
        <v>132</v>
      </c>
      <c r="C15" s="6">
        <v>40339</v>
      </c>
      <c r="D15" s="4" t="s">
        <v>72</v>
      </c>
      <c r="E15" s="2">
        <v>27</v>
      </c>
      <c r="F15" s="5">
        <v>192.81399999999999</v>
      </c>
      <c r="G15" s="5">
        <v>0.03</v>
      </c>
      <c r="H15" s="4" t="s">
        <v>15</v>
      </c>
      <c r="I15" s="5">
        <v>-86.2</v>
      </c>
      <c r="J15" s="2">
        <v>7.99</v>
      </c>
      <c r="K15" s="5">
        <v>5.03</v>
      </c>
      <c r="L15" s="4" t="s">
        <v>84</v>
      </c>
      <c r="M15" s="4" t="s">
        <v>66</v>
      </c>
      <c r="N15" s="4" t="s">
        <v>66</v>
      </c>
      <c r="O15" s="4" t="s">
        <v>60</v>
      </c>
      <c r="P15" s="4" t="s">
        <v>40</v>
      </c>
      <c r="Q15" s="4" t="s">
        <v>41</v>
      </c>
      <c r="R15" s="2" t="s">
        <v>42</v>
      </c>
      <c r="S15" s="4" t="s">
        <v>36</v>
      </c>
      <c r="T15" s="2">
        <v>0.6</v>
      </c>
      <c r="U15" s="3">
        <v>40340</v>
      </c>
    </row>
    <row r="16" spans="1:26">
      <c r="A16" s="2">
        <v>24</v>
      </c>
      <c r="B16" s="2">
        <v>134</v>
      </c>
      <c r="C16" s="6">
        <v>41029</v>
      </c>
      <c r="D16" s="4" t="s">
        <v>23</v>
      </c>
      <c r="E16" s="2">
        <v>11</v>
      </c>
      <c r="F16" s="5">
        <v>1132.5999999999999</v>
      </c>
      <c r="G16" s="5">
        <v>0.01</v>
      </c>
      <c r="H16" s="4" t="s">
        <v>15</v>
      </c>
      <c r="I16" s="5">
        <v>-310.20999999999998</v>
      </c>
      <c r="J16" s="2">
        <v>95.99</v>
      </c>
      <c r="K16" s="5">
        <v>35</v>
      </c>
      <c r="L16" s="4" t="s">
        <v>89</v>
      </c>
      <c r="M16" s="4" t="s">
        <v>57</v>
      </c>
      <c r="N16" s="4" t="s">
        <v>57</v>
      </c>
      <c r="O16" s="4" t="s">
        <v>54</v>
      </c>
      <c r="P16" s="4" t="s">
        <v>19</v>
      </c>
      <c r="Q16" s="4" t="s">
        <v>20</v>
      </c>
      <c r="R16" s="2" t="s">
        <v>90</v>
      </c>
      <c r="S16" s="4" t="s">
        <v>22</v>
      </c>
      <c r="T16" s="2"/>
      <c r="U16" s="3">
        <v>41031</v>
      </c>
    </row>
    <row r="17" spans="1:21">
      <c r="A17" s="2">
        <v>25</v>
      </c>
      <c r="B17" s="2">
        <v>135</v>
      </c>
      <c r="C17" s="6">
        <v>40836</v>
      </c>
      <c r="D17" s="4" t="s">
        <v>23</v>
      </c>
      <c r="E17" s="2">
        <v>25</v>
      </c>
      <c r="F17" s="5">
        <v>125.85</v>
      </c>
      <c r="G17" s="5">
        <v>0.09</v>
      </c>
      <c r="H17" s="4" t="s">
        <v>15</v>
      </c>
      <c r="I17" s="5">
        <v>-89.25</v>
      </c>
      <c r="J17" s="2">
        <v>4.9800000000000004</v>
      </c>
      <c r="K17" s="5">
        <v>4.62</v>
      </c>
      <c r="L17" s="4" t="s">
        <v>91</v>
      </c>
      <c r="M17" s="4" t="s">
        <v>66</v>
      </c>
      <c r="N17" s="4" t="s">
        <v>66</v>
      </c>
      <c r="O17" s="4" t="s">
        <v>60</v>
      </c>
      <c r="P17" s="4" t="s">
        <v>40</v>
      </c>
      <c r="Q17" s="4" t="s">
        <v>45</v>
      </c>
      <c r="R17" s="2" t="s">
        <v>92</v>
      </c>
      <c r="S17" s="4" t="s">
        <v>30</v>
      </c>
      <c r="T17" s="2">
        <v>0.64</v>
      </c>
      <c r="U17" s="3">
        <v>40838</v>
      </c>
    </row>
    <row r="18" spans="1:21">
      <c r="A18" s="2">
        <v>26</v>
      </c>
      <c r="B18" s="2">
        <v>166</v>
      </c>
      <c r="C18" s="6">
        <v>40797</v>
      </c>
      <c r="D18" s="4" t="s">
        <v>31</v>
      </c>
      <c r="E18" s="2">
        <v>10</v>
      </c>
      <c r="F18" s="5">
        <v>567.93600000000004</v>
      </c>
      <c r="G18" s="5">
        <v>0.02</v>
      </c>
      <c r="H18" s="4" t="s">
        <v>64</v>
      </c>
      <c r="I18" s="5">
        <v>-126.09</v>
      </c>
      <c r="J18" s="2">
        <v>65.989999999999995</v>
      </c>
      <c r="K18" s="5">
        <v>8.99</v>
      </c>
      <c r="L18" s="4" t="s">
        <v>93</v>
      </c>
      <c r="M18" s="4" t="s">
        <v>70</v>
      </c>
      <c r="N18" s="4" t="s">
        <v>44</v>
      </c>
      <c r="O18" s="4" t="s">
        <v>60</v>
      </c>
      <c r="P18" s="4" t="s">
        <v>40</v>
      </c>
      <c r="Q18" s="4" t="s">
        <v>41</v>
      </c>
      <c r="R18" s="2" t="s">
        <v>94</v>
      </c>
      <c r="S18" s="4" t="s">
        <v>51</v>
      </c>
      <c r="T18" s="2">
        <v>0.55000000000000004</v>
      </c>
      <c r="U18" s="3">
        <v>40799</v>
      </c>
    </row>
    <row r="19" spans="1:21">
      <c r="A19" s="2">
        <v>27</v>
      </c>
      <c r="B19" s="2">
        <v>193</v>
      </c>
      <c r="C19" s="6">
        <v>40397</v>
      </c>
      <c r="D19" s="4" t="s">
        <v>52</v>
      </c>
      <c r="E19" s="2">
        <v>14</v>
      </c>
      <c r="F19" s="5">
        <v>174.89</v>
      </c>
      <c r="G19" s="5">
        <v>0.06</v>
      </c>
      <c r="H19" s="4" t="s">
        <v>15</v>
      </c>
      <c r="I19" s="5">
        <v>-37.04</v>
      </c>
      <c r="J19" s="2">
        <v>12.44</v>
      </c>
      <c r="K19" s="5">
        <v>6.27</v>
      </c>
      <c r="L19" s="4" t="s">
        <v>95</v>
      </c>
      <c r="M19" s="4" t="s">
        <v>66</v>
      </c>
      <c r="N19" s="4" t="s">
        <v>66</v>
      </c>
      <c r="O19" s="4" t="s">
        <v>60</v>
      </c>
      <c r="P19" s="4" t="s">
        <v>19</v>
      </c>
      <c r="Q19" s="4" t="s">
        <v>20</v>
      </c>
      <c r="R19" s="2" t="s">
        <v>96</v>
      </c>
      <c r="S19" s="4" t="s">
        <v>36</v>
      </c>
      <c r="T19" s="2">
        <v>0.56999999999999995</v>
      </c>
      <c r="U19" s="3">
        <v>40399</v>
      </c>
    </row>
    <row r="20" spans="1:21">
      <c r="A20" s="2">
        <v>28</v>
      </c>
      <c r="B20" s="2">
        <v>194</v>
      </c>
      <c r="C20" s="6">
        <v>41003</v>
      </c>
      <c r="D20" s="4" t="s">
        <v>72</v>
      </c>
      <c r="E20" s="2">
        <v>49</v>
      </c>
      <c r="F20" s="5">
        <v>329.03</v>
      </c>
      <c r="G20" s="5">
        <v>0.1</v>
      </c>
      <c r="H20" s="4" t="s">
        <v>15</v>
      </c>
      <c r="I20" s="5">
        <v>-197.25</v>
      </c>
      <c r="J20" s="2">
        <v>7.28</v>
      </c>
      <c r="K20" s="5">
        <v>7.98</v>
      </c>
      <c r="L20" s="4" t="s">
        <v>97</v>
      </c>
      <c r="M20" s="4" t="s">
        <v>25</v>
      </c>
      <c r="N20" s="4" t="s">
        <v>26</v>
      </c>
      <c r="O20" s="4" t="s">
        <v>27</v>
      </c>
      <c r="P20" s="4" t="s">
        <v>33</v>
      </c>
      <c r="Q20" s="4" t="s">
        <v>34</v>
      </c>
      <c r="R20" s="2" t="s">
        <v>98</v>
      </c>
      <c r="S20" s="4" t="s">
        <v>50</v>
      </c>
      <c r="T20" s="2">
        <v>0.42</v>
      </c>
      <c r="U20" s="3">
        <v>41005</v>
      </c>
    </row>
    <row r="21" spans="1:21">
      <c r="A21" s="2">
        <v>30</v>
      </c>
      <c r="B21" s="2">
        <v>195</v>
      </c>
      <c r="C21" s="6">
        <v>40539</v>
      </c>
      <c r="D21" s="4" t="s">
        <v>72</v>
      </c>
      <c r="E21" s="2">
        <v>34</v>
      </c>
      <c r="F21" s="5">
        <v>1315.74</v>
      </c>
      <c r="G21" s="5">
        <v>0.03</v>
      </c>
      <c r="H21" s="4" t="s">
        <v>15</v>
      </c>
      <c r="I21" s="5">
        <v>260.87</v>
      </c>
      <c r="J21" s="2">
        <v>36.549999999999997</v>
      </c>
      <c r="K21" s="5">
        <v>13.89</v>
      </c>
      <c r="L21" s="4" t="s">
        <v>100</v>
      </c>
      <c r="M21" s="4" t="s">
        <v>74</v>
      </c>
      <c r="N21" s="4" t="s">
        <v>74</v>
      </c>
      <c r="O21" s="4" t="s">
        <v>54</v>
      </c>
      <c r="P21" s="4" t="s">
        <v>19</v>
      </c>
      <c r="Q21" s="4" t="s">
        <v>48</v>
      </c>
      <c r="R21" s="2" t="s">
        <v>101</v>
      </c>
      <c r="S21" s="4" t="s">
        <v>50</v>
      </c>
      <c r="T21" s="2">
        <v>0.41</v>
      </c>
      <c r="U21" s="3">
        <v>40541</v>
      </c>
    </row>
    <row r="22" spans="1:21">
      <c r="A22" s="2">
        <v>31</v>
      </c>
      <c r="B22" s="2">
        <v>197</v>
      </c>
      <c r="C22" s="6">
        <v>40639</v>
      </c>
      <c r="D22" s="4" t="s">
        <v>31</v>
      </c>
      <c r="E22" s="2">
        <v>23</v>
      </c>
      <c r="F22" s="5">
        <v>310.52</v>
      </c>
      <c r="G22" s="5">
        <v>0.01</v>
      </c>
      <c r="H22" s="4" t="s">
        <v>15</v>
      </c>
      <c r="I22" s="5">
        <v>33.22</v>
      </c>
      <c r="J22" s="2">
        <v>12.98</v>
      </c>
      <c r="K22" s="5">
        <v>3.14</v>
      </c>
      <c r="L22" s="4" t="s">
        <v>102</v>
      </c>
      <c r="M22" s="4" t="s">
        <v>70</v>
      </c>
      <c r="N22" s="4" t="s">
        <v>44</v>
      </c>
      <c r="O22" s="4" t="s">
        <v>54</v>
      </c>
      <c r="P22" s="4" t="s">
        <v>19</v>
      </c>
      <c r="Q22" s="4" t="s">
        <v>28</v>
      </c>
      <c r="R22" s="2" t="s">
        <v>103</v>
      </c>
      <c r="S22" s="4" t="s">
        <v>30</v>
      </c>
      <c r="T22" s="2">
        <v>0.6</v>
      </c>
      <c r="U22" s="3">
        <v>40641</v>
      </c>
    </row>
    <row r="23" spans="1:21">
      <c r="A23" s="2">
        <v>32</v>
      </c>
      <c r="B23" s="2">
        <v>224</v>
      </c>
      <c r="C23" s="6">
        <v>39981</v>
      </c>
      <c r="D23" s="4" t="s">
        <v>23</v>
      </c>
      <c r="E23" s="2">
        <v>25</v>
      </c>
      <c r="F23" s="5">
        <v>184.86</v>
      </c>
      <c r="G23" s="5">
        <v>0.09</v>
      </c>
      <c r="H23" s="4" t="s">
        <v>15</v>
      </c>
      <c r="I23" s="5">
        <v>-33.950000000000003</v>
      </c>
      <c r="J23" s="2">
        <v>7.38</v>
      </c>
      <c r="K23" s="5">
        <v>5.21</v>
      </c>
      <c r="L23" s="4" t="s">
        <v>104</v>
      </c>
      <c r="M23" s="4" t="s">
        <v>74</v>
      </c>
      <c r="N23" s="4" t="s">
        <v>74</v>
      </c>
      <c r="O23" s="4" t="s">
        <v>27</v>
      </c>
      <c r="P23" s="4" t="s">
        <v>33</v>
      </c>
      <c r="Q23" s="4" t="s">
        <v>34</v>
      </c>
      <c r="R23" s="2" t="s">
        <v>105</v>
      </c>
      <c r="S23" s="4" t="s">
        <v>51</v>
      </c>
      <c r="T23" s="2">
        <v>0.56000000000000005</v>
      </c>
      <c r="U23" s="3">
        <v>39982</v>
      </c>
    </row>
    <row r="24" spans="1:21">
      <c r="A24" s="2">
        <v>35</v>
      </c>
      <c r="B24" s="2">
        <v>225</v>
      </c>
      <c r="C24" s="6">
        <v>40687</v>
      </c>
      <c r="D24" s="4" t="s">
        <v>52</v>
      </c>
      <c r="E24" s="2">
        <v>24</v>
      </c>
      <c r="F24" s="5">
        <v>126.58</v>
      </c>
      <c r="G24" s="5">
        <v>0.06</v>
      </c>
      <c r="H24" s="4" t="s">
        <v>15</v>
      </c>
      <c r="I24" s="5">
        <v>18.27</v>
      </c>
      <c r="J24" s="2">
        <v>5.58</v>
      </c>
      <c r="K24" s="5">
        <v>0.7</v>
      </c>
      <c r="L24" s="4" t="s">
        <v>106</v>
      </c>
      <c r="M24" s="4" t="s">
        <v>66</v>
      </c>
      <c r="N24" s="4" t="s">
        <v>66</v>
      </c>
      <c r="O24" s="4" t="s">
        <v>54</v>
      </c>
      <c r="P24" s="4" t="s">
        <v>19</v>
      </c>
      <c r="Q24" s="4" t="s">
        <v>48</v>
      </c>
      <c r="R24" s="2" t="s">
        <v>107</v>
      </c>
      <c r="S24" s="4" t="s">
        <v>50</v>
      </c>
      <c r="T24" s="2">
        <v>0.6</v>
      </c>
      <c r="U24" s="3">
        <v>40688</v>
      </c>
    </row>
    <row r="25" spans="1:21">
      <c r="A25" s="2">
        <v>37</v>
      </c>
      <c r="B25" s="2">
        <v>229</v>
      </c>
      <c r="C25" s="6">
        <v>40540</v>
      </c>
      <c r="D25" s="4" t="s">
        <v>52</v>
      </c>
      <c r="E25" s="2">
        <v>43</v>
      </c>
      <c r="F25" s="5">
        <v>586.11</v>
      </c>
      <c r="G25" s="5">
        <v>0.11</v>
      </c>
      <c r="H25" s="4" t="s">
        <v>15</v>
      </c>
      <c r="I25" s="5">
        <v>98.44</v>
      </c>
      <c r="J25" s="2">
        <v>12.64</v>
      </c>
      <c r="K25" s="5">
        <v>4.9800000000000004</v>
      </c>
      <c r="L25" s="4" t="s">
        <v>109</v>
      </c>
      <c r="M25" s="4" t="s">
        <v>85</v>
      </c>
      <c r="N25" s="4" t="s">
        <v>86</v>
      </c>
      <c r="O25" s="4" t="s">
        <v>60</v>
      </c>
      <c r="P25" s="4" t="s">
        <v>33</v>
      </c>
      <c r="Q25" s="4" t="s">
        <v>34</v>
      </c>
      <c r="R25" s="2" t="s">
        <v>110</v>
      </c>
      <c r="S25" s="4" t="s">
        <v>30</v>
      </c>
      <c r="T25" s="2">
        <v>0.48</v>
      </c>
      <c r="U25" s="3">
        <v>40542</v>
      </c>
    </row>
    <row r="26" spans="1:21">
      <c r="A26" s="2">
        <v>39</v>
      </c>
      <c r="B26" s="2">
        <v>230</v>
      </c>
      <c r="C26" s="6">
        <v>40477</v>
      </c>
      <c r="D26" s="4" t="s">
        <v>52</v>
      </c>
      <c r="E26" s="2">
        <v>47</v>
      </c>
      <c r="F26" s="5">
        <v>2029.75</v>
      </c>
      <c r="G26" s="5">
        <v>0.06</v>
      </c>
      <c r="H26" s="4" t="s">
        <v>15</v>
      </c>
      <c r="I26" s="5">
        <v>320.37</v>
      </c>
      <c r="J26" s="2">
        <v>43.98</v>
      </c>
      <c r="K26" s="5">
        <v>8.99</v>
      </c>
      <c r="L26" s="4" t="s">
        <v>113</v>
      </c>
      <c r="M26" s="4" t="s">
        <v>57</v>
      </c>
      <c r="N26" s="4" t="s">
        <v>57</v>
      </c>
      <c r="O26" s="4" t="s">
        <v>27</v>
      </c>
      <c r="P26" s="4" t="s">
        <v>19</v>
      </c>
      <c r="Q26" s="4" t="s">
        <v>48</v>
      </c>
      <c r="R26" s="2" t="s">
        <v>114</v>
      </c>
      <c r="S26" s="4" t="s">
        <v>30</v>
      </c>
      <c r="T26" s="2">
        <v>0.57999999999999996</v>
      </c>
      <c r="U26" s="3">
        <v>40479</v>
      </c>
    </row>
    <row r="27" spans="1:21">
      <c r="A27" s="2">
        <v>41</v>
      </c>
      <c r="B27" s="2">
        <v>231</v>
      </c>
      <c r="C27" s="6">
        <v>40084</v>
      </c>
      <c r="D27" s="4" t="s">
        <v>31</v>
      </c>
      <c r="E27" s="2">
        <v>2</v>
      </c>
      <c r="F27" s="5">
        <v>689.74</v>
      </c>
      <c r="G27" s="5">
        <v>0.06</v>
      </c>
      <c r="H27" s="4" t="s">
        <v>15</v>
      </c>
      <c r="I27" s="5">
        <v>-490.84</v>
      </c>
      <c r="J27" s="2">
        <v>363.25</v>
      </c>
      <c r="K27" s="5">
        <v>19.989999999999998</v>
      </c>
      <c r="L27" s="4" t="s">
        <v>116</v>
      </c>
      <c r="M27" s="4" t="s">
        <v>70</v>
      </c>
      <c r="N27" s="4" t="s">
        <v>44</v>
      </c>
      <c r="O27" s="4" t="s">
        <v>18</v>
      </c>
      <c r="P27" s="4" t="s">
        <v>19</v>
      </c>
      <c r="Q27" s="4" t="s">
        <v>117</v>
      </c>
      <c r="R27" s="2" t="s">
        <v>118</v>
      </c>
      <c r="S27" s="4" t="s">
        <v>51</v>
      </c>
      <c r="T27" s="2">
        <v>0.56999999999999995</v>
      </c>
      <c r="U27" s="3">
        <v>40086</v>
      </c>
    </row>
    <row r="28" spans="1:21">
      <c r="A28" s="2">
        <v>42</v>
      </c>
      <c r="B28" s="2">
        <v>258</v>
      </c>
      <c r="C28" s="6">
        <v>40540</v>
      </c>
      <c r="D28" s="4" t="s">
        <v>52</v>
      </c>
      <c r="E28" s="2">
        <v>21</v>
      </c>
      <c r="F28" s="5">
        <v>154.35</v>
      </c>
      <c r="G28" s="5">
        <v>0</v>
      </c>
      <c r="H28" s="4" t="s">
        <v>15</v>
      </c>
      <c r="I28" s="5">
        <v>-91.14</v>
      </c>
      <c r="J28" s="2">
        <v>6.48</v>
      </c>
      <c r="K28" s="5">
        <v>8.74</v>
      </c>
      <c r="L28" s="4" t="s">
        <v>119</v>
      </c>
      <c r="M28" s="4" t="s">
        <v>85</v>
      </c>
      <c r="N28" s="4" t="s">
        <v>86</v>
      </c>
      <c r="O28" s="4" t="s">
        <v>54</v>
      </c>
      <c r="P28" s="4" t="s">
        <v>19</v>
      </c>
      <c r="Q28" s="4" t="s">
        <v>78</v>
      </c>
      <c r="R28" s="2" t="s">
        <v>120</v>
      </c>
      <c r="S28" s="4" t="s">
        <v>51</v>
      </c>
      <c r="T28" s="2">
        <v>0.36</v>
      </c>
      <c r="U28" s="3">
        <v>40542</v>
      </c>
    </row>
    <row r="29" spans="1:21">
      <c r="A29" s="2">
        <v>45</v>
      </c>
      <c r="B29" s="2">
        <v>261</v>
      </c>
      <c r="C29" s="6">
        <v>40357</v>
      </c>
      <c r="D29" s="4" t="s">
        <v>72</v>
      </c>
      <c r="E29" s="2">
        <v>47</v>
      </c>
      <c r="F29" s="5">
        <v>5677.6090000000004</v>
      </c>
      <c r="G29" s="5">
        <v>0.04</v>
      </c>
      <c r="H29" s="4" t="s">
        <v>15</v>
      </c>
      <c r="I29" s="5">
        <v>1680.79</v>
      </c>
      <c r="J29" s="2">
        <v>140.99</v>
      </c>
      <c r="K29" s="5">
        <v>4.2</v>
      </c>
      <c r="L29" s="4" t="s">
        <v>123</v>
      </c>
      <c r="M29" s="4" t="s">
        <v>47</v>
      </c>
      <c r="N29" s="4" t="s">
        <v>26</v>
      </c>
      <c r="O29" s="4" t="s">
        <v>18</v>
      </c>
      <c r="P29" s="4" t="s">
        <v>40</v>
      </c>
      <c r="Q29" s="4" t="s">
        <v>41</v>
      </c>
      <c r="R29" s="2">
        <v>7160</v>
      </c>
      <c r="S29" s="4" t="s">
        <v>51</v>
      </c>
      <c r="T29" s="2">
        <v>0.59</v>
      </c>
      <c r="U29" s="3">
        <v>40358</v>
      </c>
    </row>
    <row r="30" spans="1:21">
      <c r="A30" s="2">
        <v>46</v>
      </c>
      <c r="B30" s="2">
        <v>263</v>
      </c>
      <c r="C30" s="6">
        <v>39949</v>
      </c>
      <c r="D30" s="4" t="s">
        <v>31</v>
      </c>
      <c r="E30" s="2">
        <v>25</v>
      </c>
      <c r="F30" s="5">
        <v>136.77000000000001</v>
      </c>
      <c r="G30" s="5">
        <v>0.09</v>
      </c>
      <c r="H30" s="4" t="s">
        <v>15</v>
      </c>
      <c r="I30" s="5">
        <v>-136.25</v>
      </c>
      <c r="J30" s="2">
        <v>5.4</v>
      </c>
      <c r="K30" s="5">
        <v>7.78</v>
      </c>
      <c r="L30" s="4" t="s">
        <v>124</v>
      </c>
      <c r="M30" s="4" t="s">
        <v>74</v>
      </c>
      <c r="N30" s="4" t="s">
        <v>74</v>
      </c>
      <c r="O30" s="4" t="s">
        <v>27</v>
      </c>
      <c r="P30" s="4" t="s">
        <v>19</v>
      </c>
      <c r="Q30" s="4" t="s">
        <v>111</v>
      </c>
      <c r="R30" s="2" t="s">
        <v>125</v>
      </c>
      <c r="S30" s="4" t="s">
        <v>51</v>
      </c>
      <c r="T30" s="2">
        <v>0.37</v>
      </c>
      <c r="U30" s="3">
        <v>39950</v>
      </c>
    </row>
    <row r="31" spans="1:21">
      <c r="A31" s="2">
        <v>47</v>
      </c>
      <c r="B31" s="2">
        <v>290</v>
      </c>
      <c r="C31" s="6">
        <v>39818</v>
      </c>
      <c r="D31" s="4" t="s">
        <v>23</v>
      </c>
      <c r="E31" s="2">
        <v>24</v>
      </c>
      <c r="F31" s="5">
        <v>188.73</v>
      </c>
      <c r="G31" s="5">
        <v>0.05</v>
      </c>
      <c r="H31" s="4" t="s">
        <v>15</v>
      </c>
      <c r="I31" s="5">
        <v>-32.479999999999997</v>
      </c>
      <c r="J31" s="2">
        <v>7.64</v>
      </c>
      <c r="K31" s="5">
        <v>5.83</v>
      </c>
      <c r="L31" s="4" t="s">
        <v>126</v>
      </c>
      <c r="M31" s="4" t="s">
        <v>66</v>
      </c>
      <c r="N31" s="4" t="s">
        <v>66</v>
      </c>
      <c r="O31" s="4" t="s">
        <v>54</v>
      </c>
      <c r="P31" s="4" t="s">
        <v>19</v>
      </c>
      <c r="Q31" s="4" t="s">
        <v>78</v>
      </c>
      <c r="R31" s="2" t="s">
        <v>127</v>
      </c>
      <c r="S31" s="4" t="s">
        <v>50</v>
      </c>
      <c r="T31" s="2">
        <v>0.36</v>
      </c>
      <c r="U31" s="3">
        <v>39819</v>
      </c>
    </row>
    <row r="32" spans="1:21">
      <c r="A32" s="2">
        <v>49</v>
      </c>
      <c r="B32" s="2">
        <v>293</v>
      </c>
      <c r="C32" s="6">
        <v>41183</v>
      </c>
      <c r="D32" s="4" t="s">
        <v>31</v>
      </c>
      <c r="E32" s="2">
        <v>49</v>
      </c>
      <c r="F32" s="5">
        <v>10123.02</v>
      </c>
      <c r="G32" s="5">
        <v>7.0000000000000007E-2</v>
      </c>
      <c r="H32" s="4" t="s">
        <v>37</v>
      </c>
      <c r="I32" s="5">
        <v>457.81</v>
      </c>
      <c r="J32" s="2">
        <v>208.16</v>
      </c>
      <c r="K32" s="5">
        <v>68.02</v>
      </c>
      <c r="L32" s="4" t="s">
        <v>129</v>
      </c>
      <c r="M32" s="4" t="s">
        <v>17</v>
      </c>
      <c r="N32" s="4" t="s">
        <v>17</v>
      </c>
      <c r="O32" s="4" t="s">
        <v>60</v>
      </c>
      <c r="P32" s="4" t="s">
        <v>19</v>
      </c>
      <c r="Q32" s="4" t="s">
        <v>117</v>
      </c>
      <c r="R32" s="2" t="s">
        <v>130</v>
      </c>
      <c r="S32" s="4" t="s">
        <v>121</v>
      </c>
      <c r="T32" s="2">
        <v>0.57999999999999996</v>
      </c>
      <c r="U32" s="3">
        <v>41184</v>
      </c>
    </row>
    <row r="33" spans="1:21">
      <c r="A33" s="2">
        <v>51</v>
      </c>
      <c r="B33" s="2">
        <v>294</v>
      </c>
      <c r="C33" s="6">
        <v>40374</v>
      </c>
      <c r="D33" s="4" t="s">
        <v>72</v>
      </c>
      <c r="E33" s="2">
        <v>35</v>
      </c>
      <c r="F33" s="5">
        <v>6375.28</v>
      </c>
      <c r="G33" s="5">
        <v>0.06</v>
      </c>
      <c r="H33" s="4" t="s">
        <v>15</v>
      </c>
      <c r="I33" s="5">
        <v>489.02</v>
      </c>
      <c r="J33" s="2">
        <v>193.17</v>
      </c>
      <c r="K33" s="5">
        <v>19.989999999999998</v>
      </c>
      <c r="L33" s="4" t="s">
        <v>131</v>
      </c>
      <c r="M33" s="4" t="s">
        <v>47</v>
      </c>
      <c r="N33" s="4" t="s">
        <v>26</v>
      </c>
      <c r="O33" s="4" t="s">
        <v>54</v>
      </c>
      <c r="P33" s="4" t="s">
        <v>19</v>
      </c>
      <c r="Q33" s="4" t="s">
        <v>20</v>
      </c>
      <c r="R33" s="2" t="s">
        <v>132</v>
      </c>
      <c r="S33" s="4" t="s">
        <v>51</v>
      </c>
      <c r="T33" s="2">
        <v>0.71</v>
      </c>
      <c r="U33" s="3">
        <v>40375</v>
      </c>
    </row>
    <row r="34" spans="1:21">
      <c r="A34" s="2">
        <v>52</v>
      </c>
      <c r="B34" s="2">
        <v>322</v>
      </c>
      <c r="C34" s="6">
        <v>40986</v>
      </c>
      <c r="D34" s="4" t="s">
        <v>52</v>
      </c>
      <c r="E34" s="2">
        <v>20</v>
      </c>
      <c r="F34" s="5">
        <v>2634.8555000000001</v>
      </c>
      <c r="G34" s="5">
        <v>0.08</v>
      </c>
      <c r="H34" s="4" t="s">
        <v>15</v>
      </c>
      <c r="I34" s="5">
        <v>257.76</v>
      </c>
      <c r="J34" s="2">
        <v>155.99</v>
      </c>
      <c r="K34" s="5">
        <v>8.08</v>
      </c>
      <c r="L34" s="4" t="s">
        <v>133</v>
      </c>
      <c r="M34" s="4" t="s">
        <v>47</v>
      </c>
      <c r="N34" s="4" t="s">
        <v>26</v>
      </c>
      <c r="O34" s="4" t="s">
        <v>27</v>
      </c>
      <c r="P34" s="4" t="s">
        <v>40</v>
      </c>
      <c r="Q34" s="4" t="s">
        <v>41</v>
      </c>
      <c r="R34" s="2" t="s">
        <v>134</v>
      </c>
      <c r="S34" s="4" t="s">
        <v>51</v>
      </c>
      <c r="T34" s="2">
        <v>0.6</v>
      </c>
      <c r="U34" s="3">
        <v>40988</v>
      </c>
    </row>
    <row r="35" spans="1:21">
      <c r="A35" s="2">
        <v>54</v>
      </c>
      <c r="B35" s="2">
        <v>323</v>
      </c>
      <c r="C35" s="6">
        <v>39897</v>
      </c>
      <c r="D35" s="4" t="s">
        <v>52</v>
      </c>
      <c r="E35" s="2">
        <v>20</v>
      </c>
      <c r="F35" s="5">
        <v>108.09</v>
      </c>
      <c r="G35" s="5">
        <v>7.0000000000000007E-2</v>
      </c>
      <c r="H35" s="4" t="s">
        <v>15</v>
      </c>
      <c r="I35" s="5">
        <v>25.76</v>
      </c>
      <c r="J35" s="2">
        <v>5.68</v>
      </c>
      <c r="K35" s="5">
        <v>1.39</v>
      </c>
      <c r="L35" s="4" t="s">
        <v>135</v>
      </c>
      <c r="M35" s="4" t="s">
        <v>74</v>
      </c>
      <c r="N35" s="4" t="s">
        <v>74</v>
      </c>
      <c r="O35" s="4" t="s">
        <v>18</v>
      </c>
      <c r="P35" s="4" t="s">
        <v>19</v>
      </c>
      <c r="Q35" s="4" t="s">
        <v>128</v>
      </c>
      <c r="R35" s="2" t="s">
        <v>136</v>
      </c>
      <c r="S35" s="4" t="s">
        <v>51</v>
      </c>
      <c r="T35" s="2">
        <v>0.38</v>
      </c>
      <c r="U35" s="3">
        <v>39899</v>
      </c>
    </row>
    <row r="36" spans="1:21">
      <c r="A36" s="2">
        <v>56</v>
      </c>
      <c r="B36" s="2">
        <v>324</v>
      </c>
      <c r="C36" s="6">
        <v>40987</v>
      </c>
      <c r="D36" s="4" t="s">
        <v>52</v>
      </c>
      <c r="E36" s="2">
        <v>25</v>
      </c>
      <c r="F36" s="5">
        <v>3872.634</v>
      </c>
      <c r="G36" s="5">
        <v>0.02</v>
      </c>
      <c r="H36" s="4" t="s">
        <v>15</v>
      </c>
      <c r="I36" s="5">
        <v>667.33</v>
      </c>
      <c r="J36" s="2">
        <v>179.99</v>
      </c>
      <c r="K36" s="5">
        <v>13.99</v>
      </c>
      <c r="L36" s="4" t="s">
        <v>137</v>
      </c>
      <c r="M36" s="4" t="s">
        <v>43</v>
      </c>
      <c r="N36" s="4" t="s">
        <v>44</v>
      </c>
      <c r="O36" s="4" t="s">
        <v>18</v>
      </c>
      <c r="P36" s="4" t="s">
        <v>40</v>
      </c>
      <c r="Q36" s="4" t="s">
        <v>41</v>
      </c>
      <c r="R36" s="2" t="s">
        <v>138</v>
      </c>
      <c r="S36" s="4" t="s">
        <v>36</v>
      </c>
      <c r="T36" s="2">
        <v>0.56999999999999995</v>
      </c>
      <c r="U36" s="3">
        <v>40989</v>
      </c>
    </row>
    <row r="37" spans="1:21">
      <c r="A37" s="2">
        <v>58</v>
      </c>
      <c r="B37" s="2">
        <v>326</v>
      </c>
      <c r="C37" s="6">
        <v>40697</v>
      </c>
      <c r="D37" s="4" t="s">
        <v>31</v>
      </c>
      <c r="E37" s="2">
        <v>34</v>
      </c>
      <c r="F37" s="5">
        <v>218.27</v>
      </c>
      <c r="G37" s="5">
        <v>0.03</v>
      </c>
      <c r="H37" s="4" t="s">
        <v>15</v>
      </c>
      <c r="I37" s="5">
        <v>-44.14</v>
      </c>
      <c r="J37" s="2">
        <v>5.99</v>
      </c>
      <c r="K37" s="5">
        <v>4.92</v>
      </c>
      <c r="L37" s="4" t="s">
        <v>139</v>
      </c>
      <c r="M37" s="4" t="s">
        <v>66</v>
      </c>
      <c r="N37" s="4" t="s">
        <v>66</v>
      </c>
      <c r="O37" s="4" t="s">
        <v>60</v>
      </c>
      <c r="P37" s="4" t="s">
        <v>19</v>
      </c>
      <c r="Q37" s="4" t="s">
        <v>111</v>
      </c>
      <c r="R37" s="2" t="s">
        <v>140</v>
      </c>
      <c r="S37" s="4" t="s">
        <v>51</v>
      </c>
      <c r="T37" s="2">
        <v>0.38</v>
      </c>
      <c r="U37" s="3">
        <v>40698</v>
      </c>
    </row>
    <row r="38" spans="1:21">
      <c r="A38" s="2">
        <v>60</v>
      </c>
      <c r="B38" s="2">
        <v>353</v>
      </c>
      <c r="C38" s="6">
        <v>40542</v>
      </c>
      <c r="D38" s="4" t="s">
        <v>14</v>
      </c>
      <c r="E38" s="2">
        <v>21</v>
      </c>
      <c r="F38" s="5">
        <v>46.94</v>
      </c>
      <c r="G38" s="5">
        <v>0.02</v>
      </c>
      <c r="H38" s="4" t="s">
        <v>15</v>
      </c>
      <c r="I38" s="5">
        <v>3.88</v>
      </c>
      <c r="J38" s="2">
        <v>2.21</v>
      </c>
      <c r="K38" s="5">
        <v>1</v>
      </c>
      <c r="L38" s="4" t="s">
        <v>141</v>
      </c>
      <c r="M38" s="4" t="s">
        <v>74</v>
      </c>
      <c r="N38" s="4" t="s">
        <v>74</v>
      </c>
      <c r="O38" s="4" t="s">
        <v>54</v>
      </c>
      <c r="P38" s="4" t="s">
        <v>19</v>
      </c>
      <c r="Q38" s="4" t="s">
        <v>48</v>
      </c>
      <c r="R38" s="2" t="s">
        <v>142</v>
      </c>
      <c r="S38" s="4" t="s">
        <v>50</v>
      </c>
      <c r="T38" s="2">
        <v>0.38</v>
      </c>
      <c r="U38" s="3">
        <v>40634</v>
      </c>
    </row>
    <row r="39" spans="1:21">
      <c r="A39" s="2">
        <v>61</v>
      </c>
      <c r="B39" s="2">
        <v>355</v>
      </c>
      <c r="C39" s="6">
        <v>39977</v>
      </c>
      <c r="D39" s="4" t="s">
        <v>14</v>
      </c>
      <c r="E39" s="2">
        <v>16</v>
      </c>
      <c r="F39" s="5">
        <v>1239.6315</v>
      </c>
      <c r="G39" s="5">
        <v>0</v>
      </c>
      <c r="H39" s="4" t="s">
        <v>15</v>
      </c>
      <c r="I39" s="5">
        <v>-172.55</v>
      </c>
      <c r="J39" s="2">
        <v>85.99</v>
      </c>
      <c r="K39" s="5">
        <v>0.99</v>
      </c>
      <c r="L39" s="4" t="s">
        <v>143</v>
      </c>
      <c r="M39" s="4" t="s">
        <v>57</v>
      </c>
      <c r="N39" s="4" t="s">
        <v>57</v>
      </c>
      <c r="O39" s="4" t="s">
        <v>18</v>
      </c>
      <c r="P39" s="4" t="s">
        <v>40</v>
      </c>
      <c r="Q39" s="4" t="s">
        <v>41</v>
      </c>
      <c r="R39" s="2" t="s">
        <v>144</v>
      </c>
      <c r="S39" s="4" t="s">
        <v>50</v>
      </c>
      <c r="T39" s="2">
        <v>0.85</v>
      </c>
      <c r="U39" s="3">
        <v>39982</v>
      </c>
    </row>
    <row r="40" spans="1:21">
      <c r="A40" s="2">
        <v>62</v>
      </c>
      <c r="B40" s="2">
        <v>358</v>
      </c>
      <c r="C40" s="6">
        <v>40440</v>
      </c>
      <c r="D40" s="4" t="s">
        <v>31</v>
      </c>
      <c r="E40" s="2">
        <v>33</v>
      </c>
      <c r="F40" s="5">
        <v>1640.9</v>
      </c>
      <c r="G40" s="5">
        <v>0.02</v>
      </c>
      <c r="H40" s="4" t="s">
        <v>37</v>
      </c>
      <c r="I40" s="5">
        <v>-1348.06</v>
      </c>
      <c r="J40" s="2">
        <v>48.58</v>
      </c>
      <c r="K40" s="5">
        <v>54.11</v>
      </c>
      <c r="L40" s="4" t="s">
        <v>145</v>
      </c>
      <c r="M40" s="4" t="s">
        <v>25</v>
      </c>
      <c r="N40" s="4" t="s">
        <v>26</v>
      </c>
      <c r="O40" s="4" t="s">
        <v>27</v>
      </c>
      <c r="P40" s="4" t="s">
        <v>33</v>
      </c>
      <c r="Q40" s="4" t="s">
        <v>87</v>
      </c>
      <c r="R40" s="2" t="s">
        <v>146</v>
      </c>
      <c r="S40" s="4" t="s">
        <v>39</v>
      </c>
      <c r="T40" s="2">
        <v>0.69</v>
      </c>
      <c r="U40" s="3">
        <v>40442</v>
      </c>
    </row>
    <row r="41" spans="1:21">
      <c r="A41" s="2">
        <v>64</v>
      </c>
      <c r="B41" s="2">
        <v>359</v>
      </c>
      <c r="C41" s="6">
        <v>40165</v>
      </c>
      <c r="D41" s="4" t="s">
        <v>72</v>
      </c>
      <c r="E41" s="2">
        <v>30</v>
      </c>
      <c r="F41" s="5">
        <v>3659.66</v>
      </c>
      <c r="G41" s="5">
        <v>0.08</v>
      </c>
      <c r="H41" s="4" t="s">
        <v>37</v>
      </c>
      <c r="I41" s="5">
        <v>-500.38</v>
      </c>
      <c r="J41" s="2">
        <v>124.49</v>
      </c>
      <c r="K41" s="5">
        <v>51.94</v>
      </c>
      <c r="L41" s="4" t="s">
        <v>148</v>
      </c>
      <c r="M41" s="4" t="s">
        <v>25</v>
      </c>
      <c r="N41" s="4" t="s">
        <v>26</v>
      </c>
      <c r="O41" s="4" t="s">
        <v>27</v>
      </c>
      <c r="P41" s="4" t="s">
        <v>33</v>
      </c>
      <c r="Q41" s="4" t="s">
        <v>38</v>
      </c>
      <c r="R41" s="2" t="s">
        <v>149</v>
      </c>
      <c r="S41" s="4" t="s">
        <v>39</v>
      </c>
      <c r="T41" s="2">
        <v>0.63</v>
      </c>
      <c r="U41" s="3">
        <v>40166</v>
      </c>
    </row>
    <row r="42" spans="1:21">
      <c r="A42" s="2">
        <v>65</v>
      </c>
      <c r="B42" s="2">
        <v>384</v>
      </c>
      <c r="C42" s="6">
        <v>40970</v>
      </c>
      <c r="D42" s="4" t="s">
        <v>14</v>
      </c>
      <c r="E42" s="2">
        <v>50</v>
      </c>
      <c r="F42" s="5">
        <v>7666.04</v>
      </c>
      <c r="G42" s="5">
        <v>0.02</v>
      </c>
      <c r="H42" s="4" t="s">
        <v>37</v>
      </c>
      <c r="I42" s="5">
        <v>-1820.84</v>
      </c>
      <c r="J42" s="2">
        <v>146.05000000000001</v>
      </c>
      <c r="K42" s="5">
        <v>80.2</v>
      </c>
      <c r="L42" s="4" t="s">
        <v>150</v>
      </c>
      <c r="M42" s="4" t="s">
        <v>25</v>
      </c>
      <c r="N42" s="4" t="s">
        <v>26</v>
      </c>
      <c r="O42" s="4" t="s">
        <v>27</v>
      </c>
      <c r="P42" s="4" t="s">
        <v>33</v>
      </c>
      <c r="Q42" s="4" t="s">
        <v>38</v>
      </c>
      <c r="R42" s="2" t="s">
        <v>151</v>
      </c>
      <c r="S42" s="4" t="s">
        <v>39</v>
      </c>
      <c r="T42" s="2">
        <v>0.71</v>
      </c>
      <c r="U42" s="3">
        <v>40977</v>
      </c>
    </row>
    <row r="43" spans="1:21">
      <c r="A43" s="2">
        <v>66</v>
      </c>
      <c r="B43" s="2">
        <v>386</v>
      </c>
      <c r="C43" s="6">
        <v>40567</v>
      </c>
      <c r="D43" s="4" t="s">
        <v>31</v>
      </c>
      <c r="E43" s="2">
        <v>4</v>
      </c>
      <c r="F43" s="5">
        <v>14.96</v>
      </c>
      <c r="G43" s="5">
        <v>0.02</v>
      </c>
      <c r="H43" s="4" t="s">
        <v>15</v>
      </c>
      <c r="I43" s="5">
        <v>-0.03</v>
      </c>
      <c r="J43" s="2">
        <v>3.69</v>
      </c>
      <c r="K43" s="5">
        <v>0.5</v>
      </c>
      <c r="L43" s="4" t="s">
        <v>152</v>
      </c>
      <c r="M43" s="4" t="s">
        <v>57</v>
      </c>
      <c r="N43" s="4" t="s">
        <v>57</v>
      </c>
      <c r="O43" s="4" t="s">
        <v>27</v>
      </c>
      <c r="P43" s="4" t="s">
        <v>19</v>
      </c>
      <c r="Q43" s="4" t="s">
        <v>75</v>
      </c>
      <c r="R43" s="2" t="s">
        <v>153</v>
      </c>
      <c r="S43" s="4" t="s">
        <v>51</v>
      </c>
      <c r="T43" s="2">
        <v>0.38</v>
      </c>
      <c r="U43" s="3">
        <v>40569</v>
      </c>
    </row>
    <row r="44" spans="1:21">
      <c r="A44" s="2">
        <v>68</v>
      </c>
      <c r="B44" s="2">
        <v>388</v>
      </c>
      <c r="C44" s="6">
        <v>41258</v>
      </c>
      <c r="D44" s="4" t="s">
        <v>23</v>
      </c>
      <c r="E44" s="2">
        <v>46</v>
      </c>
      <c r="F44" s="5">
        <v>517.92999999999995</v>
      </c>
      <c r="G44" s="5">
        <v>0.06</v>
      </c>
      <c r="H44" s="4" t="s">
        <v>15</v>
      </c>
      <c r="I44" s="5">
        <v>-94.73</v>
      </c>
      <c r="J44" s="2">
        <v>11.7</v>
      </c>
      <c r="K44" s="5">
        <v>6.96</v>
      </c>
      <c r="L44" s="4" t="s">
        <v>154</v>
      </c>
      <c r="M44" s="4" t="s">
        <v>57</v>
      </c>
      <c r="N44" s="4" t="s">
        <v>57</v>
      </c>
      <c r="O44" s="4" t="s">
        <v>54</v>
      </c>
      <c r="P44" s="4" t="s">
        <v>19</v>
      </c>
      <c r="Q44" s="4" t="s">
        <v>117</v>
      </c>
      <c r="R44" s="2" t="s">
        <v>155</v>
      </c>
      <c r="S44" s="4" t="s">
        <v>36</v>
      </c>
      <c r="T44" s="2">
        <v>0.5</v>
      </c>
      <c r="U44" s="3">
        <v>41261</v>
      </c>
    </row>
    <row r="45" spans="1:21">
      <c r="A45" s="2">
        <v>69</v>
      </c>
      <c r="B45" s="2">
        <v>416</v>
      </c>
      <c r="C45" s="6">
        <v>40447</v>
      </c>
      <c r="D45" s="4" t="s">
        <v>14</v>
      </c>
      <c r="E45" s="2">
        <v>20</v>
      </c>
      <c r="F45" s="5">
        <v>1156.6714999999999</v>
      </c>
      <c r="G45" s="5">
        <v>0.01</v>
      </c>
      <c r="H45" s="4" t="s">
        <v>64</v>
      </c>
      <c r="I45" s="5">
        <v>88.52</v>
      </c>
      <c r="J45" s="2">
        <v>65.989999999999995</v>
      </c>
      <c r="K45" s="5">
        <v>7.69</v>
      </c>
      <c r="L45" s="4" t="s">
        <v>156</v>
      </c>
      <c r="M45" s="4" t="s">
        <v>57</v>
      </c>
      <c r="N45" s="4" t="s">
        <v>57</v>
      </c>
      <c r="O45" s="4" t="s">
        <v>60</v>
      </c>
      <c r="P45" s="4" t="s">
        <v>40</v>
      </c>
      <c r="Q45" s="4" t="s">
        <v>41</v>
      </c>
      <c r="R45" s="2">
        <v>5190</v>
      </c>
      <c r="S45" s="4" t="s">
        <v>51</v>
      </c>
      <c r="T45" s="2">
        <v>0.59</v>
      </c>
      <c r="U45" s="3">
        <v>40452</v>
      </c>
    </row>
    <row r="46" spans="1:21">
      <c r="A46" s="2">
        <v>70</v>
      </c>
      <c r="B46" s="2">
        <v>417</v>
      </c>
      <c r="C46" s="6">
        <v>39849</v>
      </c>
      <c r="D46" s="4" t="s">
        <v>72</v>
      </c>
      <c r="E46" s="2">
        <v>39</v>
      </c>
      <c r="F46" s="5">
        <v>15260.78</v>
      </c>
      <c r="G46" s="5">
        <v>7.0000000000000007E-2</v>
      </c>
      <c r="H46" s="4" t="s">
        <v>37</v>
      </c>
      <c r="I46" s="5">
        <v>8734.8799999999992</v>
      </c>
      <c r="J46" s="2">
        <v>500.98</v>
      </c>
      <c r="K46" s="5">
        <v>28.14</v>
      </c>
      <c r="L46" s="4" t="s">
        <v>157</v>
      </c>
      <c r="M46" s="4" t="s">
        <v>74</v>
      </c>
      <c r="N46" s="4" t="s">
        <v>74</v>
      </c>
      <c r="O46" s="4" t="s">
        <v>18</v>
      </c>
      <c r="P46" s="4" t="s">
        <v>40</v>
      </c>
      <c r="Q46" s="4" t="s">
        <v>81</v>
      </c>
      <c r="R46" s="2" t="s">
        <v>158</v>
      </c>
      <c r="S46" s="4" t="s">
        <v>121</v>
      </c>
      <c r="T46" s="2">
        <v>0.38</v>
      </c>
      <c r="U46" s="3">
        <v>39850</v>
      </c>
    </row>
    <row r="47" spans="1:21">
      <c r="A47" s="2">
        <v>72</v>
      </c>
      <c r="B47" s="2">
        <v>420</v>
      </c>
      <c r="C47" s="6">
        <v>40846</v>
      </c>
      <c r="D47" s="4" t="s">
        <v>23</v>
      </c>
      <c r="E47" s="2">
        <v>8</v>
      </c>
      <c r="F47" s="5">
        <v>43.29</v>
      </c>
      <c r="G47" s="5">
        <v>0.09</v>
      </c>
      <c r="H47" s="4" t="s">
        <v>15</v>
      </c>
      <c r="I47" s="5">
        <v>-20.69</v>
      </c>
      <c r="J47" s="2">
        <v>4.9800000000000004</v>
      </c>
      <c r="K47" s="5">
        <v>4.8600000000000003</v>
      </c>
      <c r="L47" s="4" t="s">
        <v>160</v>
      </c>
      <c r="M47" s="4" t="s">
        <v>25</v>
      </c>
      <c r="N47" s="4" t="s">
        <v>26</v>
      </c>
      <c r="O47" s="4" t="s">
        <v>18</v>
      </c>
      <c r="P47" s="4" t="s">
        <v>19</v>
      </c>
      <c r="Q47" s="4" t="s">
        <v>78</v>
      </c>
      <c r="R47" s="2" t="s">
        <v>161</v>
      </c>
      <c r="S47" s="4" t="s">
        <v>51</v>
      </c>
      <c r="T47" s="2">
        <v>0.38</v>
      </c>
      <c r="U47" s="3">
        <v>40846</v>
      </c>
    </row>
    <row r="48" spans="1:21">
      <c r="A48" s="2">
        <v>76</v>
      </c>
      <c r="B48" s="2">
        <v>450</v>
      </c>
      <c r="C48" s="6">
        <v>40606</v>
      </c>
      <c r="D48" s="4" t="s">
        <v>23</v>
      </c>
      <c r="E48" s="2">
        <v>29</v>
      </c>
      <c r="F48" s="5">
        <v>1000.78</v>
      </c>
      <c r="G48" s="5">
        <v>0.05</v>
      </c>
      <c r="H48" s="4" t="s">
        <v>64</v>
      </c>
      <c r="I48" s="5">
        <v>109.33</v>
      </c>
      <c r="J48" s="2">
        <v>34.58</v>
      </c>
      <c r="K48" s="5">
        <v>8.99</v>
      </c>
      <c r="L48" s="4" t="s">
        <v>162</v>
      </c>
      <c r="M48" s="4" t="s">
        <v>47</v>
      </c>
      <c r="N48" s="4" t="s">
        <v>26</v>
      </c>
      <c r="O48" s="4" t="s">
        <v>60</v>
      </c>
      <c r="P48" s="4" t="s">
        <v>19</v>
      </c>
      <c r="Q48" s="4" t="s">
        <v>48</v>
      </c>
      <c r="R48" s="2" t="s">
        <v>163</v>
      </c>
      <c r="S48" s="4" t="s">
        <v>30</v>
      </c>
      <c r="T48" s="2">
        <v>0.56000000000000005</v>
      </c>
      <c r="U48" s="3">
        <v>40607</v>
      </c>
    </row>
    <row r="49" spans="1:21">
      <c r="A49" s="2">
        <v>78</v>
      </c>
      <c r="B49" s="2">
        <v>454</v>
      </c>
      <c r="C49" s="6">
        <v>40903</v>
      </c>
      <c r="D49" s="4" t="s">
        <v>14</v>
      </c>
      <c r="E49" s="2">
        <v>42</v>
      </c>
      <c r="F49" s="5">
        <v>234.2</v>
      </c>
      <c r="G49" s="5">
        <v>0.09</v>
      </c>
      <c r="H49" s="4" t="s">
        <v>15</v>
      </c>
      <c r="I49" s="5">
        <v>56.22</v>
      </c>
      <c r="J49" s="2">
        <v>6.08</v>
      </c>
      <c r="K49" s="5">
        <v>1.82</v>
      </c>
      <c r="L49" s="4" t="s">
        <v>164</v>
      </c>
      <c r="M49" s="4" t="s">
        <v>57</v>
      </c>
      <c r="N49" s="4" t="s">
        <v>57</v>
      </c>
      <c r="O49" s="4" t="s">
        <v>18</v>
      </c>
      <c r="P49" s="4" t="s">
        <v>19</v>
      </c>
      <c r="Q49" s="4" t="s">
        <v>67</v>
      </c>
      <c r="R49" s="2" t="s">
        <v>165</v>
      </c>
      <c r="S49" s="4" t="s">
        <v>50</v>
      </c>
      <c r="T49" s="2">
        <v>0.35</v>
      </c>
      <c r="U49" s="3">
        <v>40905</v>
      </c>
    </row>
    <row r="50" spans="1:21">
      <c r="A50" s="2">
        <v>79</v>
      </c>
      <c r="B50" s="2">
        <v>481</v>
      </c>
      <c r="C50" s="6">
        <v>41189</v>
      </c>
      <c r="D50" s="4" t="s">
        <v>31</v>
      </c>
      <c r="E50" s="2">
        <v>44</v>
      </c>
      <c r="F50" s="5">
        <v>4509.3774999999996</v>
      </c>
      <c r="G50" s="5">
        <v>0.01</v>
      </c>
      <c r="H50" s="4" t="s">
        <v>15</v>
      </c>
      <c r="I50" s="5">
        <v>1426.26</v>
      </c>
      <c r="J50" s="2">
        <v>115.99</v>
      </c>
      <c r="K50" s="5">
        <v>5.26</v>
      </c>
      <c r="L50" s="4" t="s">
        <v>166</v>
      </c>
      <c r="M50" s="4" t="s">
        <v>47</v>
      </c>
      <c r="N50" s="4" t="s">
        <v>26</v>
      </c>
      <c r="O50" s="4" t="s">
        <v>54</v>
      </c>
      <c r="P50" s="4" t="s">
        <v>40</v>
      </c>
      <c r="Q50" s="4" t="s">
        <v>41</v>
      </c>
      <c r="R50" s="2">
        <v>636</v>
      </c>
      <c r="S50" s="4" t="s">
        <v>51</v>
      </c>
      <c r="T50" s="2">
        <v>0.56999999999999995</v>
      </c>
      <c r="U50" s="3">
        <v>41191</v>
      </c>
    </row>
    <row r="51" spans="1:21">
      <c r="A51" s="2">
        <v>80</v>
      </c>
      <c r="B51" s="2">
        <v>483</v>
      </c>
      <c r="C51" s="6">
        <v>40734</v>
      </c>
      <c r="D51" s="4" t="s">
        <v>31</v>
      </c>
      <c r="E51" s="2">
        <v>30</v>
      </c>
      <c r="F51" s="5">
        <v>4965.7595000000001</v>
      </c>
      <c r="G51" s="5">
        <v>0.08</v>
      </c>
      <c r="H51" s="4" t="s">
        <v>15</v>
      </c>
      <c r="I51" s="5">
        <v>1198.97</v>
      </c>
      <c r="J51" s="2">
        <v>195.99</v>
      </c>
      <c r="K51" s="5">
        <v>3.99</v>
      </c>
      <c r="L51" s="4" t="s">
        <v>167</v>
      </c>
      <c r="M51" s="4" t="s">
        <v>17</v>
      </c>
      <c r="N51" s="4" t="s">
        <v>17</v>
      </c>
      <c r="O51" s="4" t="s">
        <v>27</v>
      </c>
      <c r="P51" s="4" t="s">
        <v>40</v>
      </c>
      <c r="Q51" s="4" t="s">
        <v>41</v>
      </c>
      <c r="R51" s="2" t="s">
        <v>168</v>
      </c>
      <c r="S51" s="4" t="s">
        <v>51</v>
      </c>
      <c r="T51" s="2">
        <v>0.57999999999999996</v>
      </c>
      <c r="U51" s="3">
        <v>40736</v>
      </c>
    </row>
    <row r="52" spans="1:21">
      <c r="A52" s="2">
        <v>81</v>
      </c>
      <c r="B52" s="2">
        <v>487</v>
      </c>
      <c r="C52" s="6">
        <v>41138</v>
      </c>
      <c r="D52" s="4" t="s">
        <v>52</v>
      </c>
      <c r="E52" s="2">
        <v>19</v>
      </c>
      <c r="F52" s="5">
        <v>210.4</v>
      </c>
      <c r="G52" s="5">
        <v>7.0000000000000007E-2</v>
      </c>
      <c r="H52" s="4" t="s">
        <v>15</v>
      </c>
      <c r="I52" s="5">
        <v>-18.96</v>
      </c>
      <c r="J52" s="2">
        <v>10.89</v>
      </c>
      <c r="K52" s="5">
        <v>4.5</v>
      </c>
      <c r="L52" s="4" t="s">
        <v>169</v>
      </c>
      <c r="M52" s="4" t="s">
        <v>70</v>
      </c>
      <c r="N52" s="4" t="s">
        <v>44</v>
      </c>
      <c r="O52" s="4" t="s">
        <v>27</v>
      </c>
      <c r="P52" s="4" t="s">
        <v>19</v>
      </c>
      <c r="Q52" s="4" t="s">
        <v>117</v>
      </c>
      <c r="R52" s="2" t="s">
        <v>170</v>
      </c>
      <c r="S52" s="4" t="s">
        <v>51</v>
      </c>
      <c r="T52" s="2">
        <v>0.59</v>
      </c>
      <c r="U52" s="3">
        <v>41139</v>
      </c>
    </row>
    <row r="53" spans="1:21">
      <c r="A53" s="2">
        <v>82</v>
      </c>
      <c r="B53" s="2">
        <v>512</v>
      </c>
      <c r="C53" s="6">
        <v>40682</v>
      </c>
      <c r="D53" s="4" t="s">
        <v>14</v>
      </c>
      <c r="E53" s="2">
        <v>6</v>
      </c>
      <c r="F53" s="5">
        <v>1309.53</v>
      </c>
      <c r="G53" s="5">
        <v>0.06</v>
      </c>
      <c r="H53" s="4" t="s">
        <v>15</v>
      </c>
      <c r="I53" s="5">
        <v>19.18</v>
      </c>
      <c r="J53" s="2">
        <v>218.08</v>
      </c>
      <c r="K53" s="5">
        <v>18.059999999999999</v>
      </c>
      <c r="L53" s="4" t="s">
        <v>171</v>
      </c>
      <c r="M53" s="4" t="s">
        <v>43</v>
      </c>
      <c r="N53" s="4" t="s">
        <v>44</v>
      </c>
      <c r="O53" s="4" t="s">
        <v>54</v>
      </c>
      <c r="P53" s="4" t="s">
        <v>33</v>
      </c>
      <c r="Q53" s="4" t="s">
        <v>172</v>
      </c>
      <c r="R53" s="2" t="s">
        <v>173</v>
      </c>
      <c r="S53" s="4" t="s">
        <v>22</v>
      </c>
      <c r="T53" s="2">
        <v>0.56999999999999995</v>
      </c>
      <c r="U53" s="3">
        <v>40682</v>
      </c>
    </row>
    <row r="54" spans="1:21">
      <c r="A54" s="2">
        <v>84</v>
      </c>
      <c r="B54" s="2">
        <v>513</v>
      </c>
      <c r="C54" s="6">
        <v>40663</v>
      </c>
      <c r="D54" s="4" t="s">
        <v>31</v>
      </c>
      <c r="E54" s="2">
        <v>33</v>
      </c>
      <c r="F54" s="5">
        <v>5437.92</v>
      </c>
      <c r="G54" s="5">
        <v>0</v>
      </c>
      <c r="H54" s="4" t="s">
        <v>37</v>
      </c>
      <c r="I54" s="5">
        <v>-684.57</v>
      </c>
      <c r="J54" s="2">
        <v>150.88999999999999</v>
      </c>
      <c r="K54" s="5">
        <v>60.2</v>
      </c>
      <c r="L54" s="4" t="s">
        <v>174</v>
      </c>
      <c r="M54" s="4" t="s">
        <v>57</v>
      </c>
      <c r="N54" s="4" t="s">
        <v>57</v>
      </c>
      <c r="O54" s="4" t="s">
        <v>54</v>
      </c>
      <c r="P54" s="4" t="s">
        <v>33</v>
      </c>
      <c r="Q54" s="4" t="s">
        <v>172</v>
      </c>
      <c r="R54" s="2" t="s">
        <v>175</v>
      </c>
      <c r="S54" s="4" t="s">
        <v>121</v>
      </c>
      <c r="T54" s="2">
        <v>0.77</v>
      </c>
      <c r="U54" s="3">
        <v>40663</v>
      </c>
    </row>
    <row r="55" spans="1:21">
      <c r="A55" s="2">
        <v>85</v>
      </c>
      <c r="B55" s="2">
        <v>515</v>
      </c>
      <c r="C55" s="6">
        <v>40418</v>
      </c>
      <c r="D55" s="4" t="s">
        <v>23</v>
      </c>
      <c r="E55" s="2">
        <v>19</v>
      </c>
      <c r="F55" s="5">
        <v>394.27</v>
      </c>
      <c r="G55" s="5">
        <v>0.08</v>
      </c>
      <c r="H55" s="4" t="s">
        <v>15</v>
      </c>
      <c r="I55" s="5">
        <v>30.94</v>
      </c>
      <c r="J55" s="2">
        <v>21.78</v>
      </c>
      <c r="K55" s="5">
        <v>5.94</v>
      </c>
      <c r="L55" s="4" t="s">
        <v>176</v>
      </c>
      <c r="M55" s="4" t="s">
        <v>17</v>
      </c>
      <c r="N55" s="4" t="s">
        <v>17</v>
      </c>
      <c r="O55" s="4" t="s">
        <v>60</v>
      </c>
      <c r="P55" s="4" t="s">
        <v>19</v>
      </c>
      <c r="Q55" s="4" t="s">
        <v>117</v>
      </c>
      <c r="R55" s="2" t="s">
        <v>177</v>
      </c>
      <c r="S55" s="4" t="s">
        <v>36</v>
      </c>
      <c r="T55" s="2">
        <v>0.5</v>
      </c>
      <c r="U55" s="3">
        <v>40420</v>
      </c>
    </row>
    <row r="56" spans="1:21">
      <c r="A56" s="2">
        <v>87</v>
      </c>
      <c r="B56" s="2">
        <v>548</v>
      </c>
      <c r="C56" s="6">
        <v>40076</v>
      </c>
      <c r="D56" s="4" t="s">
        <v>52</v>
      </c>
      <c r="E56" s="2">
        <v>41</v>
      </c>
      <c r="F56" s="5">
        <v>129.49</v>
      </c>
      <c r="G56" s="5">
        <v>0.04</v>
      </c>
      <c r="H56" s="4" t="s">
        <v>15</v>
      </c>
      <c r="I56" s="5">
        <v>36.020000000000003</v>
      </c>
      <c r="J56" s="2">
        <v>3.08</v>
      </c>
      <c r="K56" s="5">
        <v>0.99</v>
      </c>
      <c r="L56" s="4" t="s">
        <v>178</v>
      </c>
      <c r="M56" s="4" t="s">
        <v>43</v>
      </c>
      <c r="N56" s="4" t="s">
        <v>44</v>
      </c>
      <c r="O56" s="4" t="s">
        <v>54</v>
      </c>
      <c r="P56" s="4" t="s">
        <v>19</v>
      </c>
      <c r="Q56" s="4" t="s">
        <v>75</v>
      </c>
      <c r="R56" s="2" t="s">
        <v>179</v>
      </c>
      <c r="S56" s="4" t="s">
        <v>51</v>
      </c>
      <c r="T56" s="2">
        <v>0.37</v>
      </c>
      <c r="U56" s="3">
        <v>40077</v>
      </c>
    </row>
    <row r="57" spans="1:21">
      <c r="A57" s="2">
        <v>90</v>
      </c>
      <c r="B57" s="2">
        <v>549</v>
      </c>
      <c r="C57" s="6">
        <v>41102</v>
      </c>
      <c r="D57" s="4" t="s">
        <v>52</v>
      </c>
      <c r="E57" s="2">
        <v>13</v>
      </c>
      <c r="F57" s="5">
        <v>70.239999999999995</v>
      </c>
      <c r="G57" s="5">
        <v>0.03</v>
      </c>
      <c r="H57" s="4" t="s">
        <v>15</v>
      </c>
      <c r="I57" s="5">
        <v>-59.75</v>
      </c>
      <c r="J57" s="2">
        <v>4.9800000000000004</v>
      </c>
      <c r="K57" s="5">
        <v>7.44</v>
      </c>
      <c r="L57" s="4" t="s">
        <v>181</v>
      </c>
      <c r="M57" s="4" t="s">
        <v>57</v>
      </c>
      <c r="N57" s="4" t="s">
        <v>57</v>
      </c>
      <c r="O57" s="4" t="s">
        <v>60</v>
      </c>
      <c r="P57" s="4" t="s">
        <v>19</v>
      </c>
      <c r="Q57" s="4" t="s">
        <v>78</v>
      </c>
      <c r="R57" s="2" t="s">
        <v>182</v>
      </c>
      <c r="S57" s="4" t="s">
        <v>51</v>
      </c>
      <c r="T57" s="2">
        <v>0.36</v>
      </c>
      <c r="U57" s="3">
        <v>41103</v>
      </c>
    </row>
    <row r="58" spans="1:21">
      <c r="A58" s="2">
        <v>93</v>
      </c>
      <c r="B58" s="2">
        <v>610</v>
      </c>
      <c r="C58" s="6">
        <v>40756</v>
      </c>
      <c r="D58" s="4" t="s">
        <v>52</v>
      </c>
      <c r="E58" s="2">
        <v>38</v>
      </c>
      <c r="F58" s="5">
        <v>283.64999999999998</v>
      </c>
      <c r="G58" s="5">
        <v>0.02</v>
      </c>
      <c r="H58" s="4" t="s">
        <v>64</v>
      </c>
      <c r="I58" s="5">
        <v>-29.21</v>
      </c>
      <c r="J58" s="2">
        <v>6.68</v>
      </c>
      <c r="K58" s="5">
        <v>5.41</v>
      </c>
      <c r="L58" s="4" t="s">
        <v>183</v>
      </c>
      <c r="M58" s="4" t="s">
        <v>70</v>
      </c>
      <c r="N58" s="4" t="s">
        <v>44</v>
      </c>
      <c r="O58" s="4" t="s">
        <v>54</v>
      </c>
      <c r="P58" s="4" t="s">
        <v>19</v>
      </c>
      <c r="Q58" s="4" t="s">
        <v>78</v>
      </c>
      <c r="R58" s="2" t="s">
        <v>184</v>
      </c>
      <c r="S58" s="4" t="s">
        <v>51</v>
      </c>
      <c r="T58" s="2">
        <v>0.37</v>
      </c>
      <c r="U58" s="3">
        <v>40758</v>
      </c>
    </row>
    <row r="59" spans="1:21">
      <c r="A59" s="2">
        <v>95</v>
      </c>
      <c r="B59" s="2">
        <v>612</v>
      </c>
      <c r="C59" s="6">
        <v>41202</v>
      </c>
      <c r="D59" s="4" t="s">
        <v>72</v>
      </c>
      <c r="E59" s="2">
        <v>50</v>
      </c>
      <c r="F59" s="5">
        <v>262.87</v>
      </c>
      <c r="G59" s="5">
        <v>0.1</v>
      </c>
      <c r="H59" s="4" t="s">
        <v>15</v>
      </c>
      <c r="I59" s="5">
        <v>-166.29</v>
      </c>
      <c r="J59" s="2">
        <v>5.28</v>
      </c>
      <c r="K59" s="5">
        <v>6.26</v>
      </c>
      <c r="L59" s="4" t="s">
        <v>186</v>
      </c>
      <c r="M59" s="4" t="s">
        <v>70</v>
      </c>
      <c r="N59" s="4" t="s">
        <v>44</v>
      </c>
      <c r="O59" s="4" t="s">
        <v>27</v>
      </c>
      <c r="P59" s="4" t="s">
        <v>19</v>
      </c>
      <c r="Q59" s="4" t="s">
        <v>78</v>
      </c>
      <c r="R59" s="2" t="s">
        <v>187</v>
      </c>
      <c r="S59" s="4" t="s">
        <v>51</v>
      </c>
      <c r="T59" s="2">
        <v>0.4</v>
      </c>
      <c r="U59" s="3">
        <v>41204</v>
      </c>
    </row>
    <row r="60" spans="1:21">
      <c r="A60" s="2">
        <v>97</v>
      </c>
      <c r="B60" s="2">
        <v>613</v>
      </c>
      <c r="C60" s="6">
        <v>40711</v>
      </c>
      <c r="D60" s="4" t="s">
        <v>31</v>
      </c>
      <c r="E60" s="2">
        <v>12</v>
      </c>
      <c r="F60" s="5">
        <v>93.54</v>
      </c>
      <c r="G60" s="5">
        <v>0.03</v>
      </c>
      <c r="H60" s="4" t="s">
        <v>15</v>
      </c>
      <c r="I60" s="5">
        <v>-54.04</v>
      </c>
      <c r="J60" s="2">
        <v>7.3</v>
      </c>
      <c r="K60" s="5">
        <v>7.72</v>
      </c>
      <c r="L60" s="4" t="s">
        <v>188</v>
      </c>
      <c r="M60" s="4" t="s">
        <v>17</v>
      </c>
      <c r="N60" s="4" t="s">
        <v>17</v>
      </c>
      <c r="O60" s="4" t="s">
        <v>27</v>
      </c>
      <c r="P60" s="4" t="s">
        <v>19</v>
      </c>
      <c r="Q60" s="4" t="s">
        <v>111</v>
      </c>
      <c r="R60" s="2" t="s">
        <v>189</v>
      </c>
      <c r="S60" s="4" t="s">
        <v>51</v>
      </c>
      <c r="T60" s="2">
        <v>0.38</v>
      </c>
      <c r="U60" s="3">
        <v>40711</v>
      </c>
    </row>
    <row r="61" spans="1:21">
      <c r="A61" s="2">
        <v>99</v>
      </c>
      <c r="B61" s="2">
        <v>614</v>
      </c>
      <c r="C61" s="6">
        <v>41243</v>
      </c>
      <c r="D61" s="4" t="s">
        <v>31</v>
      </c>
      <c r="E61" s="2">
        <v>41</v>
      </c>
      <c r="F61" s="5">
        <v>628.22</v>
      </c>
      <c r="G61" s="5">
        <v>0</v>
      </c>
      <c r="H61" s="4" t="s">
        <v>15</v>
      </c>
      <c r="I61" s="5">
        <v>163.81</v>
      </c>
      <c r="J61" s="2">
        <v>14.34</v>
      </c>
      <c r="K61" s="5">
        <v>5</v>
      </c>
      <c r="L61" s="4" t="s">
        <v>190</v>
      </c>
      <c r="M61" s="4" t="s">
        <v>66</v>
      </c>
      <c r="N61" s="4" t="s">
        <v>66</v>
      </c>
      <c r="O61" s="4" t="s">
        <v>27</v>
      </c>
      <c r="P61" s="4" t="s">
        <v>33</v>
      </c>
      <c r="Q61" s="4" t="s">
        <v>34</v>
      </c>
      <c r="R61" s="2" t="s">
        <v>191</v>
      </c>
      <c r="S61" s="4" t="s">
        <v>30</v>
      </c>
      <c r="T61" s="2">
        <v>0.49</v>
      </c>
      <c r="U61" s="3">
        <v>41245</v>
      </c>
    </row>
    <row r="62" spans="1:21">
      <c r="A62" s="2">
        <v>101</v>
      </c>
      <c r="B62" s="2">
        <v>640</v>
      </c>
      <c r="C62" s="6">
        <v>40200</v>
      </c>
      <c r="D62" s="4" t="s">
        <v>31</v>
      </c>
      <c r="E62" s="2">
        <v>39</v>
      </c>
      <c r="F62" s="5">
        <v>4913.6899999999996</v>
      </c>
      <c r="G62" s="5">
        <v>0.02</v>
      </c>
      <c r="H62" s="4" t="s">
        <v>37</v>
      </c>
      <c r="I62" s="5">
        <v>-1153.9000000000001</v>
      </c>
      <c r="J62" s="2">
        <v>120.98</v>
      </c>
      <c r="K62" s="5">
        <v>58.64</v>
      </c>
      <c r="L62" s="4" t="s">
        <v>192</v>
      </c>
      <c r="M62" s="4" t="s">
        <v>57</v>
      </c>
      <c r="N62" s="4" t="s">
        <v>57</v>
      </c>
      <c r="O62" s="4" t="s">
        <v>60</v>
      </c>
      <c r="P62" s="4" t="s">
        <v>33</v>
      </c>
      <c r="Q62" s="4" t="s">
        <v>87</v>
      </c>
      <c r="R62" s="2" t="s">
        <v>193</v>
      </c>
      <c r="S62" s="4" t="s">
        <v>39</v>
      </c>
      <c r="T62" s="2">
        <v>0.75</v>
      </c>
      <c r="U62" s="3">
        <v>40201</v>
      </c>
    </row>
    <row r="63" spans="1:21">
      <c r="A63" s="2">
        <v>103</v>
      </c>
      <c r="B63" s="2">
        <v>643</v>
      </c>
      <c r="C63" s="6">
        <v>40626</v>
      </c>
      <c r="D63" s="4" t="s">
        <v>31</v>
      </c>
      <c r="E63" s="2">
        <v>21</v>
      </c>
      <c r="F63" s="5">
        <v>2781.82</v>
      </c>
      <c r="G63" s="5">
        <v>7.0000000000000007E-2</v>
      </c>
      <c r="H63" s="4" t="s">
        <v>64</v>
      </c>
      <c r="I63" s="5">
        <v>-695.26</v>
      </c>
      <c r="J63" s="2">
        <v>138.13999999999999</v>
      </c>
      <c r="K63" s="5">
        <v>35</v>
      </c>
      <c r="L63" s="4" t="s">
        <v>194</v>
      </c>
      <c r="M63" s="4" t="s">
        <v>17</v>
      </c>
      <c r="N63" s="4" t="s">
        <v>17</v>
      </c>
      <c r="O63" s="4" t="s">
        <v>27</v>
      </c>
      <c r="P63" s="4" t="s">
        <v>19</v>
      </c>
      <c r="Q63" s="4" t="s">
        <v>20</v>
      </c>
      <c r="R63" s="2" t="s">
        <v>195</v>
      </c>
      <c r="S63" s="4" t="s">
        <v>22</v>
      </c>
      <c r="T63" s="2"/>
      <c r="U63" s="3">
        <v>40627</v>
      </c>
    </row>
    <row r="64" spans="1:21">
      <c r="A64" s="2">
        <v>104</v>
      </c>
      <c r="B64" s="2">
        <v>644</v>
      </c>
      <c r="C64" s="6">
        <v>41029</v>
      </c>
      <c r="D64" s="4" t="s">
        <v>52</v>
      </c>
      <c r="E64" s="2">
        <v>5</v>
      </c>
      <c r="F64" s="5">
        <v>1679.58</v>
      </c>
      <c r="G64" s="5">
        <v>0.01</v>
      </c>
      <c r="H64" s="4" t="s">
        <v>37</v>
      </c>
      <c r="I64" s="5">
        <v>-171.92</v>
      </c>
      <c r="J64" s="2">
        <v>320.98</v>
      </c>
      <c r="K64" s="5">
        <v>58.95</v>
      </c>
      <c r="L64" s="4" t="s">
        <v>196</v>
      </c>
      <c r="M64" s="4" t="s">
        <v>66</v>
      </c>
      <c r="N64" s="4" t="s">
        <v>66</v>
      </c>
      <c r="O64" s="4" t="s">
        <v>27</v>
      </c>
      <c r="P64" s="4" t="s">
        <v>33</v>
      </c>
      <c r="Q64" s="4" t="s">
        <v>172</v>
      </c>
      <c r="R64" s="2" t="s">
        <v>197</v>
      </c>
      <c r="S64" s="4" t="s">
        <v>121</v>
      </c>
      <c r="T64" s="2">
        <v>0.56999999999999995</v>
      </c>
      <c r="U64" s="3">
        <v>41030</v>
      </c>
    </row>
    <row r="65" spans="1:21">
      <c r="A65" s="2">
        <v>105</v>
      </c>
      <c r="B65" s="2">
        <v>645</v>
      </c>
      <c r="C65" s="6">
        <v>40149</v>
      </c>
      <c r="D65" s="4" t="s">
        <v>31</v>
      </c>
      <c r="E65" s="2">
        <v>42</v>
      </c>
      <c r="F65" s="5">
        <v>557.85</v>
      </c>
      <c r="G65" s="5">
        <v>0.05</v>
      </c>
      <c r="H65" s="4" t="s">
        <v>15</v>
      </c>
      <c r="I65" s="5">
        <v>89.45</v>
      </c>
      <c r="J65" s="2">
        <v>12.95</v>
      </c>
      <c r="K65" s="5">
        <v>4.9800000000000004</v>
      </c>
      <c r="L65" s="4" t="s">
        <v>198</v>
      </c>
      <c r="M65" s="4" t="s">
        <v>199</v>
      </c>
      <c r="N65" s="4" t="s">
        <v>86</v>
      </c>
      <c r="O65" s="4" t="s">
        <v>60</v>
      </c>
      <c r="P65" s="4" t="s">
        <v>19</v>
      </c>
      <c r="Q65" s="4" t="s">
        <v>111</v>
      </c>
      <c r="R65" s="2" t="s">
        <v>200</v>
      </c>
      <c r="S65" s="4" t="s">
        <v>51</v>
      </c>
      <c r="T65" s="2">
        <v>0.4</v>
      </c>
      <c r="U65" s="3">
        <v>40151</v>
      </c>
    </row>
    <row r="66" spans="1:21">
      <c r="A66" s="2">
        <v>106</v>
      </c>
      <c r="B66" s="2">
        <v>646</v>
      </c>
      <c r="C66" s="6">
        <v>40138</v>
      </c>
      <c r="D66" s="4" t="s">
        <v>31</v>
      </c>
      <c r="E66" s="2">
        <v>18</v>
      </c>
      <c r="F66" s="5">
        <v>173.2</v>
      </c>
      <c r="G66" s="5">
        <v>0.01</v>
      </c>
      <c r="H66" s="4" t="s">
        <v>15</v>
      </c>
      <c r="I66" s="5">
        <v>-10.9</v>
      </c>
      <c r="J66" s="2">
        <v>9.31</v>
      </c>
      <c r="K66" s="5">
        <v>3.98</v>
      </c>
      <c r="L66" s="4" t="s">
        <v>201</v>
      </c>
      <c r="M66" s="4" t="s">
        <v>57</v>
      </c>
      <c r="N66" s="4" t="s">
        <v>57</v>
      </c>
      <c r="O66" s="4" t="s">
        <v>18</v>
      </c>
      <c r="P66" s="4" t="s">
        <v>19</v>
      </c>
      <c r="Q66" s="4" t="s">
        <v>28</v>
      </c>
      <c r="R66" s="2" t="s">
        <v>202</v>
      </c>
      <c r="S66" s="4" t="s">
        <v>30</v>
      </c>
      <c r="T66" s="2">
        <v>0.56000000000000005</v>
      </c>
      <c r="U66" s="3">
        <v>40139</v>
      </c>
    </row>
    <row r="67" spans="1:21">
      <c r="A67" s="2">
        <v>107</v>
      </c>
      <c r="B67" s="2">
        <v>678</v>
      </c>
      <c r="C67" s="6">
        <v>40235</v>
      </c>
      <c r="D67" s="4" t="s">
        <v>14</v>
      </c>
      <c r="E67" s="2">
        <v>44</v>
      </c>
      <c r="F67" s="5">
        <v>228.41</v>
      </c>
      <c r="G67" s="5">
        <v>7.0000000000000007E-2</v>
      </c>
      <c r="H67" s="4" t="s">
        <v>15</v>
      </c>
      <c r="I67" s="5">
        <v>-226.36</v>
      </c>
      <c r="J67" s="2">
        <v>4.9800000000000004</v>
      </c>
      <c r="K67" s="5">
        <v>8.33</v>
      </c>
      <c r="L67" s="4" t="s">
        <v>203</v>
      </c>
      <c r="M67" s="4" t="s">
        <v>17</v>
      </c>
      <c r="N67" s="4" t="s">
        <v>17</v>
      </c>
      <c r="O67" s="4" t="s">
        <v>54</v>
      </c>
      <c r="P67" s="4" t="s">
        <v>19</v>
      </c>
      <c r="Q67" s="4" t="s">
        <v>78</v>
      </c>
      <c r="R67" s="2" t="s">
        <v>204</v>
      </c>
      <c r="S67" s="4" t="s">
        <v>51</v>
      </c>
      <c r="T67" s="2">
        <v>0.38</v>
      </c>
      <c r="U67" s="3">
        <v>40235</v>
      </c>
    </row>
    <row r="68" spans="1:21">
      <c r="A68" s="2">
        <v>108</v>
      </c>
      <c r="B68" s="2">
        <v>706</v>
      </c>
      <c r="C68" s="6">
        <v>40794</v>
      </c>
      <c r="D68" s="4" t="s">
        <v>52</v>
      </c>
      <c r="E68" s="2">
        <v>42</v>
      </c>
      <c r="F68" s="5">
        <v>75.14</v>
      </c>
      <c r="G68" s="5">
        <v>0.05</v>
      </c>
      <c r="H68" s="4" t="s">
        <v>15</v>
      </c>
      <c r="I68" s="5">
        <v>0.82</v>
      </c>
      <c r="J68" s="2">
        <v>1.76</v>
      </c>
      <c r="K68" s="5">
        <v>0.7</v>
      </c>
      <c r="L68" s="4" t="s">
        <v>205</v>
      </c>
      <c r="M68" s="4" t="s">
        <v>85</v>
      </c>
      <c r="N68" s="4" t="s">
        <v>86</v>
      </c>
      <c r="O68" s="4" t="s">
        <v>60</v>
      </c>
      <c r="P68" s="4" t="s">
        <v>19</v>
      </c>
      <c r="Q68" s="4" t="s">
        <v>48</v>
      </c>
      <c r="R68" s="2" t="s">
        <v>206</v>
      </c>
      <c r="S68" s="4" t="s">
        <v>50</v>
      </c>
      <c r="T68" s="2">
        <v>0.56000000000000005</v>
      </c>
      <c r="U68" s="3">
        <v>40796</v>
      </c>
    </row>
    <row r="69" spans="1:21">
      <c r="A69" s="2">
        <v>109</v>
      </c>
      <c r="B69" s="2">
        <v>710</v>
      </c>
      <c r="C69" s="6">
        <v>40179</v>
      </c>
      <c r="D69" s="4" t="s">
        <v>14</v>
      </c>
      <c r="E69" s="2">
        <v>42</v>
      </c>
      <c r="F69" s="5">
        <v>161.77000000000001</v>
      </c>
      <c r="G69" s="5">
        <v>0.01</v>
      </c>
      <c r="H69" s="4" t="s">
        <v>15</v>
      </c>
      <c r="I69" s="5">
        <v>-150.37</v>
      </c>
      <c r="J69" s="2">
        <v>3.58</v>
      </c>
      <c r="K69" s="5">
        <v>5.47</v>
      </c>
      <c r="L69" s="4" t="s">
        <v>207</v>
      </c>
      <c r="M69" s="4" t="s">
        <v>70</v>
      </c>
      <c r="N69" s="4" t="s">
        <v>44</v>
      </c>
      <c r="O69" s="4" t="s">
        <v>27</v>
      </c>
      <c r="P69" s="4" t="s">
        <v>19</v>
      </c>
      <c r="Q69" s="4" t="s">
        <v>111</v>
      </c>
      <c r="R69" s="2" t="s">
        <v>208</v>
      </c>
      <c r="S69" s="4" t="s">
        <v>51</v>
      </c>
      <c r="T69" s="2">
        <v>0.37</v>
      </c>
      <c r="U69" s="3">
        <v>40183</v>
      </c>
    </row>
    <row r="70" spans="1:21">
      <c r="A70" s="2">
        <v>112</v>
      </c>
      <c r="B70" s="2">
        <v>738</v>
      </c>
      <c r="C70" s="6">
        <v>40238</v>
      </c>
      <c r="D70" s="4" t="s">
        <v>23</v>
      </c>
      <c r="E70" s="2">
        <v>7</v>
      </c>
      <c r="F70" s="5">
        <v>560.51</v>
      </c>
      <c r="G70" s="5">
        <v>0.04</v>
      </c>
      <c r="H70" s="4" t="s">
        <v>15</v>
      </c>
      <c r="I70" s="5">
        <v>32.6</v>
      </c>
      <c r="J70" s="2">
        <v>80.98</v>
      </c>
      <c r="K70" s="5">
        <v>4.5</v>
      </c>
      <c r="L70" s="4" t="s">
        <v>210</v>
      </c>
      <c r="M70" s="4" t="s">
        <v>66</v>
      </c>
      <c r="N70" s="4" t="s">
        <v>66</v>
      </c>
      <c r="O70" s="4" t="s">
        <v>27</v>
      </c>
      <c r="P70" s="4" t="s">
        <v>19</v>
      </c>
      <c r="Q70" s="4" t="s">
        <v>117</v>
      </c>
      <c r="R70" s="2" t="s">
        <v>211</v>
      </c>
      <c r="S70" s="4" t="s">
        <v>51</v>
      </c>
      <c r="T70" s="2">
        <v>0.59</v>
      </c>
      <c r="U70" s="3">
        <v>40240</v>
      </c>
    </row>
    <row r="71" spans="1:21">
      <c r="A71" s="2">
        <v>114</v>
      </c>
      <c r="B71" s="2">
        <v>740</v>
      </c>
      <c r="C71" s="6">
        <v>40739</v>
      </c>
      <c r="D71" s="4" t="s">
        <v>72</v>
      </c>
      <c r="E71" s="2">
        <v>6</v>
      </c>
      <c r="F71" s="5">
        <v>28.01</v>
      </c>
      <c r="G71" s="5">
        <v>0.09</v>
      </c>
      <c r="H71" s="4" t="s">
        <v>15</v>
      </c>
      <c r="I71" s="5">
        <v>3.46</v>
      </c>
      <c r="J71" s="2">
        <v>4.9800000000000004</v>
      </c>
      <c r="K71" s="5">
        <v>0.49</v>
      </c>
      <c r="L71" s="4" t="s">
        <v>213</v>
      </c>
      <c r="M71" s="4" t="s">
        <v>57</v>
      </c>
      <c r="N71" s="4" t="s">
        <v>57</v>
      </c>
      <c r="O71" s="4" t="s">
        <v>27</v>
      </c>
      <c r="P71" s="4" t="s">
        <v>19</v>
      </c>
      <c r="Q71" s="4" t="s">
        <v>75</v>
      </c>
      <c r="R71" s="2" t="s">
        <v>214</v>
      </c>
      <c r="S71" s="4" t="s">
        <v>51</v>
      </c>
      <c r="T71" s="2">
        <v>0.39</v>
      </c>
      <c r="U71" s="3">
        <v>40739</v>
      </c>
    </row>
    <row r="72" spans="1:21">
      <c r="A72" s="2">
        <v>115</v>
      </c>
      <c r="B72" s="2">
        <v>769</v>
      </c>
      <c r="C72" s="6">
        <v>40330</v>
      </c>
      <c r="D72" s="4" t="s">
        <v>72</v>
      </c>
      <c r="E72" s="2">
        <v>37</v>
      </c>
      <c r="F72" s="5">
        <v>4261.9399999999996</v>
      </c>
      <c r="G72" s="5">
        <v>0.02</v>
      </c>
      <c r="H72" s="4" t="s">
        <v>37</v>
      </c>
      <c r="I72" s="5">
        <v>4.1500000000000004</v>
      </c>
      <c r="J72" s="2">
        <v>115.99</v>
      </c>
      <c r="K72" s="5">
        <v>56.14</v>
      </c>
      <c r="L72" s="4" t="s">
        <v>215</v>
      </c>
      <c r="M72" s="4" t="s">
        <v>199</v>
      </c>
      <c r="N72" s="4" t="s">
        <v>86</v>
      </c>
      <c r="O72" s="4" t="s">
        <v>60</v>
      </c>
      <c r="P72" s="4" t="s">
        <v>40</v>
      </c>
      <c r="Q72" s="4" t="s">
        <v>81</v>
      </c>
      <c r="R72" s="2" t="s">
        <v>216</v>
      </c>
      <c r="S72" s="4" t="s">
        <v>121</v>
      </c>
      <c r="T72" s="2">
        <v>0.4</v>
      </c>
      <c r="U72" s="3">
        <v>40331</v>
      </c>
    </row>
    <row r="73" spans="1:21">
      <c r="A73" s="2">
        <v>116</v>
      </c>
      <c r="B73" s="2">
        <v>771</v>
      </c>
      <c r="C73" s="6">
        <v>40710</v>
      </c>
      <c r="D73" s="4" t="s">
        <v>52</v>
      </c>
      <c r="E73" s="2">
        <v>18</v>
      </c>
      <c r="F73" s="5">
        <v>88.84</v>
      </c>
      <c r="G73" s="5">
        <v>0.08</v>
      </c>
      <c r="H73" s="4" t="s">
        <v>15</v>
      </c>
      <c r="I73" s="5">
        <v>-38.35</v>
      </c>
      <c r="J73" s="2">
        <v>4.9800000000000004</v>
      </c>
      <c r="K73" s="5">
        <v>4.72</v>
      </c>
      <c r="L73" s="4" t="s">
        <v>217</v>
      </c>
      <c r="M73" s="4" t="s">
        <v>43</v>
      </c>
      <c r="N73" s="4" t="s">
        <v>44</v>
      </c>
      <c r="O73" s="4" t="s">
        <v>54</v>
      </c>
      <c r="P73" s="4" t="s">
        <v>19</v>
      </c>
      <c r="Q73" s="4" t="s">
        <v>78</v>
      </c>
      <c r="R73" s="2" t="s">
        <v>218</v>
      </c>
      <c r="S73" s="4" t="s">
        <v>51</v>
      </c>
      <c r="T73" s="2">
        <v>0.36</v>
      </c>
      <c r="U73" s="3">
        <v>40711</v>
      </c>
    </row>
    <row r="74" spans="1:21">
      <c r="A74" s="2">
        <v>117</v>
      </c>
      <c r="B74" s="2">
        <v>772</v>
      </c>
      <c r="C74" s="6">
        <v>40284</v>
      </c>
      <c r="D74" s="4" t="s">
        <v>31</v>
      </c>
      <c r="E74" s="2">
        <v>35</v>
      </c>
      <c r="F74" s="5">
        <v>589.24</v>
      </c>
      <c r="G74" s="5">
        <v>0.08</v>
      </c>
      <c r="H74" s="4" t="s">
        <v>15</v>
      </c>
      <c r="I74" s="5">
        <v>-38.35</v>
      </c>
      <c r="J74" s="2">
        <v>17.52</v>
      </c>
      <c r="K74" s="5">
        <v>8.17</v>
      </c>
      <c r="L74" s="4" t="s">
        <v>219</v>
      </c>
      <c r="M74" s="4" t="s">
        <v>66</v>
      </c>
      <c r="N74" s="4" t="s">
        <v>66</v>
      </c>
      <c r="O74" s="4" t="s">
        <v>60</v>
      </c>
      <c r="P74" s="4" t="s">
        <v>19</v>
      </c>
      <c r="Q74" s="4" t="s">
        <v>117</v>
      </c>
      <c r="R74" s="2" t="s">
        <v>220</v>
      </c>
      <c r="S74" s="4" t="s">
        <v>36</v>
      </c>
      <c r="T74" s="2">
        <v>0.5</v>
      </c>
      <c r="U74" s="3">
        <v>40286</v>
      </c>
    </row>
    <row r="75" spans="1:21">
      <c r="A75" s="2">
        <v>119</v>
      </c>
      <c r="B75" s="2">
        <v>773</v>
      </c>
      <c r="C75" s="6">
        <v>40446</v>
      </c>
      <c r="D75" s="4" t="s">
        <v>72</v>
      </c>
      <c r="E75" s="2">
        <v>38</v>
      </c>
      <c r="F75" s="5">
        <v>2071.3395</v>
      </c>
      <c r="G75" s="5">
        <v>0.06</v>
      </c>
      <c r="H75" s="4" t="s">
        <v>15</v>
      </c>
      <c r="I75" s="5">
        <v>324.93</v>
      </c>
      <c r="J75" s="2">
        <v>65.989999999999995</v>
      </c>
      <c r="K75" s="5">
        <v>8.99</v>
      </c>
      <c r="L75" s="4" t="s">
        <v>221</v>
      </c>
      <c r="M75" s="4" t="s">
        <v>199</v>
      </c>
      <c r="N75" s="4" t="s">
        <v>86</v>
      </c>
      <c r="O75" s="4" t="s">
        <v>54</v>
      </c>
      <c r="P75" s="4" t="s">
        <v>40</v>
      </c>
      <c r="Q75" s="4" t="s">
        <v>41</v>
      </c>
      <c r="R75" s="2" t="s">
        <v>222</v>
      </c>
      <c r="S75" s="4" t="s">
        <v>51</v>
      </c>
      <c r="T75" s="2">
        <v>0.56000000000000005</v>
      </c>
      <c r="U75" s="3">
        <v>40447</v>
      </c>
    </row>
    <row r="76" spans="1:21">
      <c r="A76" s="2">
        <v>120</v>
      </c>
      <c r="B76" s="2">
        <v>774</v>
      </c>
      <c r="C76" s="6">
        <v>40880</v>
      </c>
      <c r="D76" s="4" t="s">
        <v>52</v>
      </c>
      <c r="E76" s="2">
        <v>17</v>
      </c>
      <c r="F76" s="5">
        <v>126.57</v>
      </c>
      <c r="G76" s="5">
        <v>0.03</v>
      </c>
      <c r="H76" s="4" t="s">
        <v>15</v>
      </c>
      <c r="I76" s="5">
        <v>-752.13</v>
      </c>
      <c r="J76" s="2">
        <v>4.4800000000000004</v>
      </c>
      <c r="K76" s="5">
        <v>49</v>
      </c>
      <c r="L76" s="4" t="s">
        <v>223</v>
      </c>
      <c r="M76" s="4" t="s">
        <v>25</v>
      </c>
      <c r="N76" s="4" t="s">
        <v>26</v>
      </c>
      <c r="O76" s="4" t="s">
        <v>18</v>
      </c>
      <c r="P76" s="4" t="s">
        <v>19</v>
      </c>
      <c r="Q76" s="4" t="s">
        <v>117</v>
      </c>
      <c r="R76" s="2" t="s">
        <v>224</v>
      </c>
      <c r="S76" s="4" t="s">
        <v>22</v>
      </c>
      <c r="T76" s="2">
        <v>0.6</v>
      </c>
      <c r="U76" s="3">
        <v>40882</v>
      </c>
    </row>
    <row r="77" spans="1:21">
      <c r="A77" s="2">
        <v>121</v>
      </c>
      <c r="B77" s="2">
        <v>775</v>
      </c>
      <c r="C77" s="6">
        <v>40619</v>
      </c>
      <c r="D77" s="4" t="s">
        <v>52</v>
      </c>
      <c r="E77" s="2">
        <v>35</v>
      </c>
      <c r="F77" s="5">
        <v>43.57</v>
      </c>
      <c r="G77" s="5">
        <v>0.1</v>
      </c>
      <c r="H77" s="4" t="s">
        <v>15</v>
      </c>
      <c r="I77" s="5">
        <v>-19.170000000000002</v>
      </c>
      <c r="J77" s="2">
        <v>1.26</v>
      </c>
      <c r="K77" s="5">
        <v>0.7</v>
      </c>
      <c r="L77" s="4" t="s">
        <v>225</v>
      </c>
      <c r="M77" s="4" t="s">
        <v>85</v>
      </c>
      <c r="N77" s="4" t="s">
        <v>86</v>
      </c>
      <c r="O77" s="4" t="s">
        <v>18</v>
      </c>
      <c r="P77" s="4" t="s">
        <v>19</v>
      </c>
      <c r="Q77" s="4" t="s">
        <v>67</v>
      </c>
      <c r="R77" s="2" t="s">
        <v>226</v>
      </c>
      <c r="S77" s="4" t="s">
        <v>50</v>
      </c>
      <c r="T77" s="2">
        <v>0.81</v>
      </c>
      <c r="U77" s="3">
        <v>40620</v>
      </c>
    </row>
    <row r="78" spans="1:21">
      <c r="A78" s="2">
        <v>123</v>
      </c>
      <c r="B78" s="2">
        <v>801</v>
      </c>
      <c r="C78" s="6">
        <v>40956</v>
      </c>
      <c r="D78" s="4" t="s">
        <v>52</v>
      </c>
      <c r="E78" s="2">
        <v>20</v>
      </c>
      <c r="F78" s="5">
        <v>59.85</v>
      </c>
      <c r="G78" s="5">
        <v>0.03</v>
      </c>
      <c r="H78" s="4" t="s">
        <v>15</v>
      </c>
      <c r="I78" s="5">
        <v>-47.41</v>
      </c>
      <c r="J78" s="2">
        <v>2.74</v>
      </c>
      <c r="K78" s="5">
        <v>3.5</v>
      </c>
      <c r="L78" s="4" t="s">
        <v>228</v>
      </c>
      <c r="M78" s="4" t="s">
        <v>70</v>
      </c>
      <c r="N78" s="4" t="s">
        <v>44</v>
      </c>
      <c r="O78" s="4" t="s">
        <v>27</v>
      </c>
      <c r="P78" s="4" t="s">
        <v>19</v>
      </c>
      <c r="Q78" s="4" t="s">
        <v>48</v>
      </c>
      <c r="R78" s="2" t="s">
        <v>229</v>
      </c>
      <c r="S78" s="4" t="s">
        <v>30</v>
      </c>
      <c r="T78" s="2">
        <v>0.57999999999999996</v>
      </c>
      <c r="U78" s="3">
        <v>40959</v>
      </c>
    </row>
    <row r="79" spans="1:21">
      <c r="A79" s="2">
        <v>124</v>
      </c>
      <c r="B79" s="2">
        <v>802</v>
      </c>
      <c r="C79" s="6">
        <v>40547</v>
      </c>
      <c r="D79" s="4" t="s">
        <v>52</v>
      </c>
      <c r="E79" s="2">
        <v>33</v>
      </c>
      <c r="F79" s="5">
        <v>378.6</v>
      </c>
      <c r="G79" s="5">
        <v>0.08</v>
      </c>
      <c r="H79" s="4" t="s">
        <v>15</v>
      </c>
      <c r="I79" s="5">
        <v>12.72</v>
      </c>
      <c r="J79" s="2">
        <v>11.7</v>
      </c>
      <c r="K79" s="5">
        <v>5.63</v>
      </c>
      <c r="L79" s="4" t="s">
        <v>230</v>
      </c>
      <c r="M79" s="4" t="s">
        <v>57</v>
      </c>
      <c r="N79" s="4" t="s">
        <v>57</v>
      </c>
      <c r="O79" s="4" t="s">
        <v>27</v>
      </c>
      <c r="P79" s="4" t="s">
        <v>19</v>
      </c>
      <c r="Q79" s="4" t="s">
        <v>111</v>
      </c>
      <c r="R79" s="2" t="s">
        <v>231</v>
      </c>
      <c r="S79" s="4" t="s">
        <v>51</v>
      </c>
      <c r="T79" s="2">
        <v>0.4</v>
      </c>
      <c r="U79" s="3">
        <v>40549</v>
      </c>
    </row>
    <row r="80" spans="1:21">
      <c r="A80" s="2">
        <v>126</v>
      </c>
      <c r="B80" s="2">
        <v>805</v>
      </c>
      <c r="C80" s="6">
        <v>40728</v>
      </c>
      <c r="D80" s="4" t="s">
        <v>23</v>
      </c>
      <c r="E80" s="2">
        <v>39</v>
      </c>
      <c r="F80" s="5">
        <v>197.56</v>
      </c>
      <c r="G80" s="5">
        <v>0.02</v>
      </c>
      <c r="H80" s="4" t="s">
        <v>15</v>
      </c>
      <c r="I80" s="5">
        <v>-119.86</v>
      </c>
      <c r="J80" s="2">
        <v>4.97</v>
      </c>
      <c r="K80" s="5">
        <v>5.71</v>
      </c>
      <c r="L80" s="4" t="s">
        <v>232</v>
      </c>
      <c r="M80" s="4" t="s">
        <v>43</v>
      </c>
      <c r="N80" s="4" t="s">
        <v>44</v>
      </c>
      <c r="O80" s="4" t="s">
        <v>18</v>
      </c>
      <c r="P80" s="4" t="s">
        <v>33</v>
      </c>
      <c r="Q80" s="4" t="s">
        <v>34</v>
      </c>
      <c r="R80" s="2" t="s">
        <v>233</v>
      </c>
      <c r="S80" s="4" t="s">
        <v>36</v>
      </c>
      <c r="T80" s="2">
        <v>0.54</v>
      </c>
      <c r="U80" s="3">
        <v>40730</v>
      </c>
    </row>
    <row r="81" spans="1:21">
      <c r="A81" s="2">
        <v>127</v>
      </c>
      <c r="B81" s="2">
        <v>807</v>
      </c>
      <c r="C81" s="6">
        <v>40505</v>
      </c>
      <c r="D81" s="4" t="s">
        <v>72</v>
      </c>
      <c r="E81" s="2">
        <v>45</v>
      </c>
      <c r="F81" s="5">
        <v>196.85</v>
      </c>
      <c r="G81" s="5">
        <v>0.01</v>
      </c>
      <c r="H81" s="4" t="s">
        <v>15</v>
      </c>
      <c r="I81" s="5">
        <v>-166.85</v>
      </c>
      <c r="J81" s="2">
        <v>4.28</v>
      </c>
      <c r="K81" s="5">
        <v>6.18</v>
      </c>
      <c r="L81" s="4" t="s">
        <v>234</v>
      </c>
      <c r="M81" s="4" t="s">
        <v>17</v>
      </c>
      <c r="N81" s="4" t="s">
        <v>17</v>
      </c>
      <c r="O81" s="4" t="s">
        <v>54</v>
      </c>
      <c r="P81" s="4" t="s">
        <v>19</v>
      </c>
      <c r="Q81" s="4" t="s">
        <v>78</v>
      </c>
      <c r="R81" s="2" t="s">
        <v>235</v>
      </c>
      <c r="S81" s="4" t="s">
        <v>51</v>
      </c>
      <c r="T81" s="2">
        <v>0.4</v>
      </c>
      <c r="U81" s="3">
        <v>40506</v>
      </c>
    </row>
    <row r="82" spans="1:21">
      <c r="A82" s="2">
        <v>129</v>
      </c>
      <c r="B82" s="2">
        <v>832</v>
      </c>
      <c r="C82" s="6">
        <v>41017</v>
      </c>
      <c r="D82" s="4" t="s">
        <v>14</v>
      </c>
      <c r="E82" s="2">
        <v>7</v>
      </c>
      <c r="F82" s="5">
        <v>53.46</v>
      </c>
      <c r="G82" s="5">
        <v>0.02</v>
      </c>
      <c r="H82" s="4" t="s">
        <v>15</v>
      </c>
      <c r="I82" s="5">
        <v>-17.579999999999998</v>
      </c>
      <c r="J82" s="2">
        <v>6.48</v>
      </c>
      <c r="K82" s="5">
        <v>5.9</v>
      </c>
      <c r="L82" s="4" t="s">
        <v>236</v>
      </c>
      <c r="M82" s="4" t="s">
        <v>25</v>
      </c>
      <c r="N82" s="4" t="s">
        <v>26</v>
      </c>
      <c r="O82" s="4" t="s">
        <v>27</v>
      </c>
      <c r="P82" s="4" t="s">
        <v>19</v>
      </c>
      <c r="Q82" s="4" t="s">
        <v>78</v>
      </c>
      <c r="R82" s="2" t="s">
        <v>180</v>
      </c>
      <c r="S82" s="4" t="s">
        <v>51</v>
      </c>
      <c r="T82" s="2">
        <v>0.37</v>
      </c>
      <c r="U82" s="3">
        <v>41021</v>
      </c>
    </row>
    <row r="83" spans="1:21">
      <c r="A83" s="2">
        <v>130</v>
      </c>
      <c r="B83" s="2">
        <v>833</v>
      </c>
      <c r="C83" s="6">
        <v>39856</v>
      </c>
      <c r="D83" s="4" t="s">
        <v>72</v>
      </c>
      <c r="E83" s="2">
        <v>1</v>
      </c>
      <c r="F83" s="5">
        <v>19.32</v>
      </c>
      <c r="G83" s="5">
        <v>0.03</v>
      </c>
      <c r="H83" s="4" t="s">
        <v>15</v>
      </c>
      <c r="I83" s="5">
        <v>-20.32</v>
      </c>
      <c r="J83" s="2">
        <v>12.53</v>
      </c>
      <c r="K83" s="5">
        <v>7.17</v>
      </c>
      <c r="L83" s="4" t="s">
        <v>237</v>
      </c>
      <c r="M83" s="4" t="s">
        <v>57</v>
      </c>
      <c r="N83" s="4" t="s">
        <v>57</v>
      </c>
      <c r="O83" s="4" t="s">
        <v>54</v>
      </c>
      <c r="P83" s="4" t="s">
        <v>19</v>
      </c>
      <c r="Q83" s="4" t="s">
        <v>111</v>
      </c>
      <c r="R83" s="2" t="s">
        <v>238</v>
      </c>
      <c r="S83" s="4" t="s">
        <v>51</v>
      </c>
      <c r="T83" s="2">
        <v>0.38</v>
      </c>
      <c r="U83" s="3">
        <v>39857</v>
      </c>
    </row>
    <row r="84" spans="1:21">
      <c r="A84" s="2">
        <v>133</v>
      </c>
      <c r="B84" s="2">
        <v>837</v>
      </c>
      <c r="C84" s="6">
        <v>39978</v>
      </c>
      <c r="D84" s="4" t="s">
        <v>23</v>
      </c>
      <c r="E84" s="2">
        <v>11</v>
      </c>
      <c r="F84" s="5">
        <v>65.7</v>
      </c>
      <c r="G84" s="5">
        <v>0.01</v>
      </c>
      <c r="H84" s="4" t="s">
        <v>15</v>
      </c>
      <c r="I84" s="5">
        <v>13.41</v>
      </c>
      <c r="J84" s="2">
        <v>5.84</v>
      </c>
      <c r="K84" s="5">
        <v>0.83</v>
      </c>
      <c r="L84" s="4" t="s">
        <v>239</v>
      </c>
      <c r="M84" s="4" t="s">
        <v>57</v>
      </c>
      <c r="N84" s="4" t="s">
        <v>57</v>
      </c>
      <c r="O84" s="4" t="s">
        <v>27</v>
      </c>
      <c r="P84" s="4" t="s">
        <v>19</v>
      </c>
      <c r="Q84" s="4" t="s">
        <v>48</v>
      </c>
      <c r="R84" s="2" t="s">
        <v>240</v>
      </c>
      <c r="S84" s="4" t="s">
        <v>50</v>
      </c>
      <c r="T84" s="2">
        <v>0.49</v>
      </c>
      <c r="U84" s="3">
        <v>39980</v>
      </c>
    </row>
    <row r="85" spans="1:21">
      <c r="A85" s="2">
        <v>137</v>
      </c>
      <c r="B85" s="2">
        <v>871</v>
      </c>
      <c r="C85" s="6">
        <v>40861</v>
      </c>
      <c r="D85" s="4" t="s">
        <v>14</v>
      </c>
      <c r="E85" s="2">
        <v>17</v>
      </c>
      <c r="F85" s="5">
        <v>104.94</v>
      </c>
      <c r="G85" s="5">
        <v>0.06</v>
      </c>
      <c r="H85" s="4" t="s">
        <v>15</v>
      </c>
      <c r="I85" s="5">
        <v>-34.97</v>
      </c>
      <c r="J85" s="2">
        <v>6.24</v>
      </c>
      <c r="K85" s="5">
        <v>5.22</v>
      </c>
      <c r="L85" s="4" t="s">
        <v>243</v>
      </c>
      <c r="M85" s="4" t="s">
        <v>74</v>
      </c>
      <c r="N85" s="4" t="s">
        <v>74</v>
      </c>
      <c r="O85" s="4" t="s">
        <v>54</v>
      </c>
      <c r="P85" s="4" t="s">
        <v>33</v>
      </c>
      <c r="Q85" s="4" t="s">
        <v>34</v>
      </c>
      <c r="R85" s="2" t="s">
        <v>244</v>
      </c>
      <c r="S85" s="4" t="s">
        <v>51</v>
      </c>
      <c r="T85" s="2">
        <v>0.6</v>
      </c>
      <c r="U85" s="3">
        <v>40861</v>
      </c>
    </row>
    <row r="86" spans="1:21">
      <c r="A86" s="2">
        <v>138</v>
      </c>
      <c r="B86" s="2">
        <v>896</v>
      </c>
      <c r="C86" s="6">
        <v>40245</v>
      </c>
      <c r="D86" s="4" t="s">
        <v>52</v>
      </c>
      <c r="E86" s="2">
        <v>50</v>
      </c>
      <c r="F86" s="5">
        <v>1246.52</v>
      </c>
      <c r="G86" s="5">
        <v>0.01</v>
      </c>
      <c r="H86" s="4" t="s">
        <v>15</v>
      </c>
      <c r="I86" s="5">
        <v>52.48</v>
      </c>
      <c r="J86" s="2">
        <v>24.92</v>
      </c>
      <c r="K86" s="5">
        <v>12.98</v>
      </c>
      <c r="L86" s="4" t="s">
        <v>245</v>
      </c>
      <c r="M86" s="4" t="s">
        <v>57</v>
      </c>
      <c r="N86" s="4" t="s">
        <v>57</v>
      </c>
      <c r="O86" s="4" t="s">
        <v>54</v>
      </c>
      <c r="P86" s="4" t="s">
        <v>19</v>
      </c>
      <c r="Q86" s="4" t="s">
        <v>111</v>
      </c>
      <c r="R86" s="2" t="s">
        <v>112</v>
      </c>
      <c r="S86" s="4" t="s">
        <v>51</v>
      </c>
      <c r="T86" s="2">
        <v>0.39</v>
      </c>
      <c r="U86" s="3">
        <v>40245</v>
      </c>
    </row>
    <row r="87" spans="1:21">
      <c r="A87" s="2">
        <v>139</v>
      </c>
      <c r="B87" s="2">
        <v>898</v>
      </c>
      <c r="C87" s="6">
        <v>40331</v>
      </c>
      <c r="D87" s="4" t="s">
        <v>31</v>
      </c>
      <c r="E87" s="2">
        <v>40</v>
      </c>
      <c r="F87" s="5">
        <v>676.13</v>
      </c>
      <c r="G87" s="5">
        <v>0.03</v>
      </c>
      <c r="H87" s="4" t="s">
        <v>15</v>
      </c>
      <c r="I87" s="5">
        <v>45.39</v>
      </c>
      <c r="J87" s="2">
        <v>15.98</v>
      </c>
      <c r="K87" s="5">
        <v>6.5</v>
      </c>
      <c r="L87" s="4" t="s">
        <v>246</v>
      </c>
      <c r="M87" s="4" t="s">
        <v>66</v>
      </c>
      <c r="N87" s="4" t="s">
        <v>66</v>
      </c>
      <c r="O87" s="4" t="s">
        <v>60</v>
      </c>
      <c r="P87" s="4" t="s">
        <v>40</v>
      </c>
      <c r="Q87" s="4" t="s">
        <v>45</v>
      </c>
      <c r="R87" s="2" t="s">
        <v>247</v>
      </c>
      <c r="S87" s="4" t="s">
        <v>51</v>
      </c>
      <c r="T87" s="2">
        <v>0.48</v>
      </c>
      <c r="U87" s="3">
        <v>40333</v>
      </c>
    </row>
    <row r="88" spans="1:21">
      <c r="A88" s="2">
        <v>141</v>
      </c>
      <c r="B88" s="2">
        <v>900</v>
      </c>
      <c r="C88" s="6">
        <v>40086</v>
      </c>
      <c r="D88" s="4" t="s">
        <v>23</v>
      </c>
      <c r="E88" s="2">
        <v>29</v>
      </c>
      <c r="F88" s="5">
        <v>1193.6500000000001</v>
      </c>
      <c r="G88" s="5">
        <v>7.0000000000000007E-2</v>
      </c>
      <c r="H88" s="4" t="s">
        <v>15</v>
      </c>
      <c r="I88" s="5">
        <v>507.58</v>
      </c>
      <c r="J88" s="2">
        <v>40.98</v>
      </c>
      <c r="K88" s="5">
        <v>2.99</v>
      </c>
      <c r="L88" s="4" t="s">
        <v>249</v>
      </c>
      <c r="M88" s="4" t="s">
        <v>85</v>
      </c>
      <c r="N88" s="4" t="s">
        <v>86</v>
      </c>
      <c r="O88" s="4" t="s">
        <v>54</v>
      </c>
      <c r="P88" s="4" t="s">
        <v>19</v>
      </c>
      <c r="Q88" s="4" t="s">
        <v>111</v>
      </c>
      <c r="R88" s="2" t="s">
        <v>250</v>
      </c>
      <c r="S88" s="4" t="s">
        <v>51</v>
      </c>
      <c r="T88" s="2">
        <v>0.36</v>
      </c>
      <c r="U88" s="3">
        <v>40087</v>
      </c>
    </row>
    <row r="89" spans="1:21">
      <c r="A89" s="2">
        <v>142</v>
      </c>
      <c r="B89" s="2">
        <v>902</v>
      </c>
      <c r="C89" s="6">
        <v>40020</v>
      </c>
      <c r="D89" s="4" t="s">
        <v>23</v>
      </c>
      <c r="E89" s="2">
        <v>10</v>
      </c>
      <c r="F89" s="5">
        <v>1925.83</v>
      </c>
      <c r="G89" s="5">
        <v>0.09</v>
      </c>
      <c r="H89" s="4" t="s">
        <v>15</v>
      </c>
      <c r="I89" s="5">
        <v>359.83</v>
      </c>
      <c r="J89" s="2">
        <v>207.48</v>
      </c>
      <c r="K89" s="5">
        <v>0.99</v>
      </c>
      <c r="L89" s="4" t="s">
        <v>251</v>
      </c>
      <c r="M89" s="4" t="s">
        <v>70</v>
      </c>
      <c r="N89" s="4" t="s">
        <v>44</v>
      </c>
      <c r="O89" s="4" t="s">
        <v>27</v>
      </c>
      <c r="P89" s="4" t="s">
        <v>19</v>
      </c>
      <c r="Q89" s="4" t="s">
        <v>117</v>
      </c>
      <c r="R89" s="2" t="s">
        <v>252</v>
      </c>
      <c r="S89" s="4" t="s">
        <v>51</v>
      </c>
      <c r="T89" s="2">
        <v>0.55000000000000004</v>
      </c>
      <c r="U89" s="3">
        <v>40023</v>
      </c>
    </row>
    <row r="90" spans="1:21">
      <c r="A90" s="2">
        <v>143</v>
      </c>
      <c r="B90" s="2">
        <v>928</v>
      </c>
      <c r="C90" s="6">
        <v>40603</v>
      </c>
      <c r="D90" s="4" t="s">
        <v>14</v>
      </c>
      <c r="E90" s="2">
        <v>21</v>
      </c>
      <c r="F90" s="5">
        <v>1222.68</v>
      </c>
      <c r="G90" s="5">
        <v>0.06</v>
      </c>
      <c r="H90" s="4" t="s">
        <v>64</v>
      </c>
      <c r="I90" s="5">
        <v>300.97000000000003</v>
      </c>
      <c r="J90" s="2">
        <v>59.98</v>
      </c>
      <c r="K90" s="5">
        <v>3.99</v>
      </c>
      <c r="L90" s="4" t="s">
        <v>253</v>
      </c>
      <c r="M90" s="4" t="s">
        <v>47</v>
      </c>
      <c r="N90" s="4" t="s">
        <v>26</v>
      </c>
      <c r="O90" s="4" t="s">
        <v>60</v>
      </c>
      <c r="P90" s="4" t="s">
        <v>19</v>
      </c>
      <c r="Q90" s="4" t="s">
        <v>117</v>
      </c>
      <c r="R90" s="2" t="s">
        <v>254</v>
      </c>
      <c r="S90" s="4" t="s">
        <v>51</v>
      </c>
      <c r="T90" s="2">
        <v>0.56999999999999995</v>
      </c>
      <c r="U90" s="3">
        <v>40608</v>
      </c>
    </row>
    <row r="91" spans="1:21">
      <c r="A91" s="2">
        <v>145</v>
      </c>
      <c r="B91" s="2">
        <v>929</v>
      </c>
      <c r="C91" s="6">
        <v>41183</v>
      </c>
      <c r="D91" s="4" t="s">
        <v>31</v>
      </c>
      <c r="E91" s="2">
        <v>21</v>
      </c>
      <c r="F91" s="5">
        <v>227.66</v>
      </c>
      <c r="G91" s="5">
        <v>0.04</v>
      </c>
      <c r="H91" s="4" t="s">
        <v>15</v>
      </c>
      <c r="I91" s="5">
        <v>-100.16</v>
      </c>
      <c r="J91" s="2">
        <v>10.97</v>
      </c>
      <c r="K91" s="5">
        <v>6.5</v>
      </c>
      <c r="L91" s="4" t="s">
        <v>255</v>
      </c>
      <c r="M91" s="4" t="s">
        <v>74</v>
      </c>
      <c r="N91" s="4" t="s">
        <v>74</v>
      </c>
      <c r="O91" s="4" t="s">
        <v>27</v>
      </c>
      <c r="P91" s="4" t="s">
        <v>40</v>
      </c>
      <c r="Q91" s="4" t="s">
        <v>45</v>
      </c>
      <c r="R91" s="2" t="s">
        <v>256</v>
      </c>
      <c r="S91" s="4" t="s">
        <v>51</v>
      </c>
      <c r="T91" s="2">
        <v>0.64</v>
      </c>
      <c r="U91" s="3">
        <v>41186</v>
      </c>
    </row>
    <row r="92" spans="1:21">
      <c r="A92" s="2">
        <v>147</v>
      </c>
      <c r="B92" s="2">
        <v>930</v>
      </c>
      <c r="C92" s="6">
        <v>40163</v>
      </c>
      <c r="D92" s="4" t="s">
        <v>52</v>
      </c>
      <c r="E92" s="2">
        <v>22</v>
      </c>
      <c r="F92" s="5">
        <v>922.39</v>
      </c>
      <c r="G92" s="5">
        <v>0.03</v>
      </c>
      <c r="H92" s="4" t="s">
        <v>64</v>
      </c>
      <c r="I92" s="5">
        <v>-41.64</v>
      </c>
      <c r="J92" s="2">
        <v>41.32</v>
      </c>
      <c r="K92" s="5">
        <v>58.66</v>
      </c>
      <c r="L92" s="4" t="s">
        <v>257</v>
      </c>
      <c r="M92" s="4" t="s">
        <v>258</v>
      </c>
      <c r="N92" s="4" t="s">
        <v>86</v>
      </c>
      <c r="O92" s="4" t="s">
        <v>18</v>
      </c>
      <c r="P92" s="4" t="s">
        <v>33</v>
      </c>
      <c r="Q92" s="4" t="s">
        <v>34</v>
      </c>
      <c r="R92" s="2" t="s">
        <v>209</v>
      </c>
      <c r="S92" s="4" t="s">
        <v>36</v>
      </c>
      <c r="T92" s="2">
        <v>0.76</v>
      </c>
      <c r="U92" s="3">
        <v>40164</v>
      </c>
    </row>
    <row r="93" spans="1:21">
      <c r="A93" s="2">
        <v>149</v>
      </c>
      <c r="B93" s="2">
        <v>933</v>
      </c>
      <c r="C93" s="6">
        <v>41125</v>
      </c>
      <c r="D93" s="4" t="s">
        <v>23</v>
      </c>
      <c r="E93" s="2">
        <v>15</v>
      </c>
      <c r="F93" s="5">
        <v>80.61</v>
      </c>
      <c r="G93" s="5">
        <v>0.02</v>
      </c>
      <c r="H93" s="4" t="s">
        <v>15</v>
      </c>
      <c r="I93" s="5">
        <v>-4.72</v>
      </c>
      <c r="J93" s="2">
        <v>5.28</v>
      </c>
      <c r="K93" s="5">
        <v>2.99</v>
      </c>
      <c r="L93" s="4" t="s">
        <v>260</v>
      </c>
      <c r="M93" s="4" t="s">
        <v>17</v>
      </c>
      <c r="N93" s="4" t="s">
        <v>17</v>
      </c>
      <c r="O93" s="4" t="s">
        <v>18</v>
      </c>
      <c r="P93" s="4" t="s">
        <v>19</v>
      </c>
      <c r="Q93" s="4" t="s">
        <v>111</v>
      </c>
      <c r="R93" s="2" t="s">
        <v>261</v>
      </c>
      <c r="S93" s="4" t="s">
        <v>51</v>
      </c>
      <c r="T93" s="2">
        <v>0.37</v>
      </c>
      <c r="U93" s="3">
        <v>41125</v>
      </c>
    </row>
    <row r="94" spans="1:21">
      <c r="A94" s="2">
        <v>150</v>
      </c>
      <c r="B94" s="2">
        <v>960</v>
      </c>
      <c r="C94" s="6">
        <v>40076</v>
      </c>
      <c r="D94" s="4" t="s">
        <v>72</v>
      </c>
      <c r="E94" s="2">
        <v>46</v>
      </c>
      <c r="F94" s="5">
        <v>605.97</v>
      </c>
      <c r="G94" s="5">
        <v>7.0000000000000007E-2</v>
      </c>
      <c r="H94" s="4" t="s">
        <v>15</v>
      </c>
      <c r="I94" s="5">
        <v>-22.72</v>
      </c>
      <c r="J94" s="2">
        <v>13.73</v>
      </c>
      <c r="K94" s="5">
        <v>6.85</v>
      </c>
      <c r="L94" s="4" t="s">
        <v>262</v>
      </c>
      <c r="M94" s="4" t="s">
        <v>57</v>
      </c>
      <c r="N94" s="4" t="s">
        <v>57</v>
      </c>
      <c r="O94" s="4" t="s">
        <v>60</v>
      </c>
      <c r="P94" s="4" t="s">
        <v>33</v>
      </c>
      <c r="Q94" s="4" t="s">
        <v>34</v>
      </c>
      <c r="R94" s="2" t="s">
        <v>263</v>
      </c>
      <c r="S94" s="4" t="s">
        <v>50</v>
      </c>
      <c r="T94" s="2">
        <v>0.54</v>
      </c>
      <c r="U94" s="3">
        <v>40077</v>
      </c>
    </row>
    <row r="95" spans="1:21">
      <c r="A95" s="2">
        <v>151</v>
      </c>
      <c r="B95" s="2">
        <v>962</v>
      </c>
      <c r="C95" s="6">
        <v>39938</v>
      </c>
      <c r="D95" s="4" t="s">
        <v>14</v>
      </c>
      <c r="E95" s="2">
        <v>33</v>
      </c>
      <c r="F95" s="5">
        <v>4064.05</v>
      </c>
      <c r="G95" s="5">
        <v>0.06</v>
      </c>
      <c r="H95" s="4" t="s">
        <v>15</v>
      </c>
      <c r="I95" s="5">
        <v>1408.19</v>
      </c>
      <c r="J95" s="2">
        <v>122.99</v>
      </c>
      <c r="K95" s="5">
        <v>19.989999999999998</v>
      </c>
      <c r="L95" s="4" t="s">
        <v>264</v>
      </c>
      <c r="M95" s="4" t="s">
        <v>47</v>
      </c>
      <c r="N95" s="4" t="s">
        <v>26</v>
      </c>
      <c r="O95" s="4" t="s">
        <v>18</v>
      </c>
      <c r="P95" s="4" t="s">
        <v>19</v>
      </c>
      <c r="Q95" s="4" t="s">
        <v>111</v>
      </c>
      <c r="R95" s="2" t="s">
        <v>265</v>
      </c>
      <c r="S95" s="4" t="s">
        <v>51</v>
      </c>
      <c r="T95" s="2">
        <v>0.37</v>
      </c>
      <c r="U95" s="3">
        <v>39940</v>
      </c>
    </row>
    <row r="96" spans="1:21">
      <c r="A96" s="2">
        <v>153</v>
      </c>
      <c r="B96" s="2">
        <v>964</v>
      </c>
      <c r="C96" s="6">
        <v>40682</v>
      </c>
      <c r="D96" s="4" t="s">
        <v>72</v>
      </c>
      <c r="E96" s="2">
        <v>50</v>
      </c>
      <c r="F96" s="5">
        <v>315.02</v>
      </c>
      <c r="G96" s="5">
        <v>0.02</v>
      </c>
      <c r="H96" s="4" t="s">
        <v>15</v>
      </c>
      <c r="I96" s="5">
        <v>95.16</v>
      </c>
      <c r="J96" s="2">
        <v>5.98</v>
      </c>
      <c r="K96" s="5">
        <v>1.49</v>
      </c>
      <c r="L96" s="4" t="s">
        <v>266</v>
      </c>
      <c r="M96" s="4" t="s">
        <v>66</v>
      </c>
      <c r="N96" s="4" t="s">
        <v>66</v>
      </c>
      <c r="O96" s="4" t="s">
        <v>27</v>
      </c>
      <c r="P96" s="4" t="s">
        <v>19</v>
      </c>
      <c r="Q96" s="4" t="s">
        <v>111</v>
      </c>
      <c r="R96" s="2" t="s">
        <v>267</v>
      </c>
      <c r="S96" s="4" t="s">
        <v>51</v>
      </c>
      <c r="T96" s="2">
        <v>0.39</v>
      </c>
      <c r="U96" s="3">
        <v>40684</v>
      </c>
    </row>
    <row r="97" spans="1:21">
      <c r="A97" s="2">
        <v>155</v>
      </c>
      <c r="B97" s="2">
        <v>965</v>
      </c>
      <c r="C97" s="6">
        <v>40677</v>
      </c>
      <c r="D97" s="4" t="s">
        <v>14</v>
      </c>
      <c r="E97" s="2">
        <v>42</v>
      </c>
      <c r="F97" s="5">
        <v>11230.25</v>
      </c>
      <c r="G97" s="5">
        <v>7.0000000000000007E-2</v>
      </c>
      <c r="H97" s="4" t="s">
        <v>37</v>
      </c>
      <c r="I97" s="5">
        <v>-679.04</v>
      </c>
      <c r="J97" s="2">
        <v>280.98</v>
      </c>
      <c r="K97" s="5">
        <v>35.67</v>
      </c>
      <c r="L97" s="4" t="s">
        <v>268</v>
      </c>
      <c r="M97" s="4" t="s">
        <v>57</v>
      </c>
      <c r="N97" s="4" t="s">
        <v>57</v>
      </c>
      <c r="O97" s="4" t="s">
        <v>27</v>
      </c>
      <c r="P97" s="4" t="s">
        <v>33</v>
      </c>
      <c r="Q97" s="4" t="s">
        <v>38</v>
      </c>
      <c r="R97" s="2" t="s">
        <v>269</v>
      </c>
      <c r="S97" s="4" t="s">
        <v>39</v>
      </c>
      <c r="T97" s="2">
        <v>0.66</v>
      </c>
      <c r="U97" s="3">
        <v>40684</v>
      </c>
    </row>
    <row r="98" spans="1:21">
      <c r="A98" s="2">
        <v>156</v>
      </c>
      <c r="B98" s="2">
        <v>967</v>
      </c>
      <c r="C98" s="6">
        <v>41080</v>
      </c>
      <c r="D98" s="4" t="s">
        <v>72</v>
      </c>
      <c r="E98" s="2">
        <v>6</v>
      </c>
      <c r="F98" s="5">
        <v>90.56</v>
      </c>
      <c r="G98" s="5">
        <v>0.03</v>
      </c>
      <c r="H98" s="4" t="s">
        <v>15</v>
      </c>
      <c r="I98" s="5">
        <v>-37.58</v>
      </c>
      <c r="J98" s="2">
        <v>13.99</v>
      </c>
      <c r="K98" s="5">
        <v>7.51</v>
      </c>
      <c r="L98" s="4" t="s">
        <v>270</v>
      </c>
      <c r="M98" s="4" t="s">
        <v>74</v>
      </c>
      <c r="N98" s="4" t="s">
        <v>74</v>
      </c>
      <c r="O98" s="4" t="s">
        <v>60</v>
      </c>
      <c r="P98" s="4" t="s">
        <v>40</v>
      </c>
      <c r="Q98" s="4" t="s">
        <v>81</v>
      </c>
      <c r="R98" s="2" t="s">
        <v>271</v>
      </c>
      <c r="S98" s="4" t="s">
        <v>36</v>
      </c>
      <c r="T98" s="2">
        <v>0.39</v>
      </c>
      <c r="U98" s="3">
        <v>41082</v>
      </c>
    </row>
    <row r="99" spans="1:21">
      <c r="A99" s="2">
        <v>159</v>
      </c>
      <c r="B99" s="2">
        <v>994</v>
      </c>
      <c r="C99" s="6">
        <v>39922</v>
      </c>
      <c r="D99" s="4" t="s">
        <v>14</v>
      </c>
      <c r="E99" s="2">
        <v>38</v>
      </c>
      <c r="F99" s="5">
        <v>132.07</v>
      </c>
      <c r="G99" s="5">
        <v>0.06</v>
      </c>
      <c r="H99" s="4" t="s">
        <v>15</v>
      </c>
      <c r="I99" s="5">
        <v>14</v>
      </c>
      <c r="J99" s="2">
        <v>3.58</v>
      </c>
      <c r="K99" s="5">
        <v>1.63</v>
      </c>
      <c r="L99" s="4" t="s">
        <v>272</v>
      </c>
      <c r="M99" s="4" t="s">
        <v>57</v>
      </c>
      <c r="N99" s="4" t="s">
        <v>57</v>
      </c>
      <c r="O99" s="4" t="s">
        <v>27</v>
      </c>
      <c r="P99" s="4" t="s">
        <v>19</v>
      </c>
      <c r="Q99" s="4" t="s">
        <v>67</v>
      </c>
      <c r="R99" s="2" t="s">
        <v>273</v>
      </c>
      <c r="S99" s="4" t="s">
        <v>50</v>
      </c>
      <c r="T99" s="2">
        <v>0.36</v>
      </c>
      <c r="U99" s="3">
        <v>39926</v>
      </c>
    </row>
    <row r="100" spans="1:21">
      <c r="A100" s="2">
        <v>161</v>
      </c>
      <c r="B100" s="2">
        <v>998</v>
      </c>
      <c r="C100" s="6">
        <v>40142</v>
      </c>
      <c r="D100" s="4" t="s">
        <v>23</v>
      </c>
      <c r="E100" s="2">
        <v>16</v>
      </c>
      <c r="F100" s="5">
        <v>248.26</v>
      </c>
      <c r="G100" s="5">
        <v>7.0000000000000007E-2</v>
      </c>
      <c r="H100" s="4" t="s">
        <v>15</v>
      </c>
      <c r="I100" s="5">
        <v>93.8</v>
      </c>
      <c r="J100" s="2">
        <v>15.74</v>
      </c>
      <c r="K100" s="5">
        <v>1.39</v>
      </c>
      <c r="L100" s="4" t="s">
        <v>274</v>
      </c>
      <c r="M100" s="4" t="s">
        <v>17</v>
      </c>
      <c r="N100" s="4" t="s">
        <v>17</v>
      </c>
      <c r="O100" s="4" t="s">
        <v>18</v>
      </c>
      <c r="P100" s="4" t="s">
        <v>19</v>
      </c>
      <c r="Q100" s="4" t="s">
        <v>128</v>
      </c>
      <c r="R100" s="2" t="s">
        <v>275</v>
      </c>
      <c r="S100" s="4" t="s">
        <v>51</v>
      </c>
      <c r="T100" s="2">
        <v>0.4</v>
      </c>
      <c r="U100" s="3">
        <v>40143</v>
      </c>
    </row>
    <row r="101" spans="1:21">
      <c r="A101" s="2">
        <v>162</v>
      </c>
      <c r="B101" s="2">
        <v>999</v>
      </c>
      <c r="C101" s="6">
        <v>40425</v>
      </c>
      <c r="D101" s="4" t="s">
        <v>14</v>
      </c>
      <c r="E101" s="2">
        <v>6</v>
      </c>
      <c r="F101" s="5">
        <v>583.64</v>
      </c>
      <c r="G101" s="5">
        <v>0.08</v>
      </c>
      <c r="H101" s="4" t="s">
        <v>15</v>
      </c>
      <c r="I101" s="5">
        <v>-179.5</v>
      </c>
      <c r="J101" s="2">
        <v>95.43</v>
      </c>
      <c r="K101" s="5">
        <v>19.989999999999998</v>
      </c>
      <c r="L101" s="4" t="s">
        <v>276</v>
      </c>
      <c r="M101" s="4" t="s">
        <v>57</v>
      </c>
      <c r="N101" s="4" t="s">
        <v>57</v>
      </c>
      <c r="O101" s="4" t="s">
        <v>54</v>
      </c>
      <c r="P101" s="4" t="s">
        <v>19</v>
      </c>
      <c r="Q101" s="4" t="s">
        <v>20</v>
      </c>
      <c r="R101" s="2" t="s">
        <v>277</v>
      </c>
      <c r="S101" s="4" t="s">
        <v>51</v>
      </c>
      <c r="T101" s="2">
        <v>0.79</v>
      </c>
      <c r="U101" s="3">
        <v>40432</v>
      </c>
    </row>
    <row r="102" spans="1:21">
      <c r="A102" s="2">
        <v>163</v>
      </c>
      <c r="B102" s="2">
        <v>1027</v>
      </c>
      <c r="C102" s="6">
        <v>41062</v>
      </c>
      <c r="D102" s="4" t="s">
        <v>72</v>
      </c>
      <c r="E102" s="2">
        <v>19</v>
      </c>
      <c r="F102" s="5">
        <v>1406.15</v>
      </c>
      <c r="G102" s="5">
        <v>0.04</v>
      </c>
      <c r="H102" s="4" t="s">
        <v>37</v>
      </c>
      <c r="I102" s="5">
        <v>-379.1</v>
      </c>
      <c r="J102" s="2">
        <v>70.98</v>
      </c>
      <c r="K102" s="5">
        <v>46.74</v>
      </c>
      <c r="L102" s="4" t="s">
        <v>278</v>
      </c>
      <c r="M102" s="4" t="s">
        <v>25</v>
      </c>
      <c r="N102" s="4" t="s">
        <v>26</v>
      </c>
      <c r="O102" s="4" t="s">
        <v>54</v>
      </c>
      <c r="P102" s="4" t="s">
        <v>33</v>
      </c>
      <c r="Q102" s="4" t="s">
        <v>87</v>
      </c>
      <c r="R102" s="2" t="s">
        <v>279</v>
      </c>
      <c r="S102" s="4" t="s">
        <v>39</v>
      </c>
      <c r="T102" s="2">
        <v>0.56000000000000005</v>
      </c>
      <c r="U102" s="3">
        <v>41064</v>
      </c>
    </row>
    <row r="103" spans="1:21">
      <c r="A103" s="2">
        <v>167</v>
      </c>
      <c r="B103" s="2">
        <v>1057</v>
      </c>
      <c r="C103" s="6">
        <v>40958</v>
      </c>
      <c r="D103" s="4" t="s">
        <v>52</v>
      </c>
      <c r="E103" s="2">
        <v>41</v>
      </c>
      <c r="F103" s="5">
        <v>341.36</v>
      </c>
      <c r="G103" s="5">
        <v>0.09</v>
      </c>
      <c r="H103" s="4" t="s">
        <v>15</v>
      </c>
      <c r="I103" s="5">
        <v>-52.48</v>
      </c>
      <c r="J103" s="2">
        <v>8.4600000000000009</v>
      </c>
      <c r="K103" s="5">
        <v>3.62</v>
      </c>
      <c r="L103" s="4" t="s">
        <v>281</v>
      </c>
      <c r="M103" s="4" t="s">
        <v>57</v>
      </c>
      <c r="N103" s="4" t="s">
        <v>57</v>
      </c>
      <c r="O103" s="4" t="s">
        <v>27</v>
      </c>
      <c r="P103" s="4" t="s">
        <v>40</v>
      </c>
      <c r="Q103" s="4" t="s">
        <v>45</v>
      </c>
      <c r="R103" s="2" t="s">
        <v>282</v>
      </c>
      <c r="S103" s="4" t="s">
        <v>30</v>
      </c>
      <c r="T103" s="2">
        <v>0.61</v>
      </c>
      <c r="U103" s="3">
        <v>40960</v>
      </c>
    </row>
    <row r="104" spans="1:21">
      <c r="A104" s="2">
        <v>168</v>
      </c>
      <c r="B104" s="2">
        <v>1058</v>
      </c>
      <c r="C104" s="6">
        <v>40293</v>
      </c>
      <c r="D104" s="4" t="s">
        <v>72</v>
      </c>
      <c r="E104" s="2">
        <v>3</v>
      </c>
      <c r="F104" s="5">
        <v>469.43799999999999</v>
      </c>
      <c r="G104" s="5">
        <v>7.0000000000000007E-2</v>
      </c>
      <c r="H104" s="4" t="s">
        <v>15</v>
      </c>
      <c r="I104" s="5">
        <v>-888.16</v>
      </c>
      <c r="J104" s="2">
        <v>195.99</v>
      </c>
      <c r="K104" s="5">
        <v>8.99</v>
      </c>
      <c r="L104" s="4" t="s">
        <v>283</v>
      </c>
      <c r="M104" s="4" t="s">
        <v>258</v>
      </c>
      <c r="N104" s="4" t="s">
        <v>86</v>
      </c>
      <c r="O104" s="4" t="s">
        <v>18</v>
      </c>
      <c r="P104" s="4" t="s">
        <v>40</v>
      </c>
      <c r="Q104" s="4" t="s">
        <v>41</v>
      </c>
      <c r="R104" s="2" t="s">
        <v>284</v>
      </c>
      <c r="S104" s="4" t="s">
        <v>51</v>
      </c>
      <c r="T104" s="2">
        <v>0.6</v>
      </c>
      <c r="U104" s="3">
        <v>40294</v>
      </c>
    </row>
    <row r="105" spans="1:21">
      <c r="A105" s="2">
        <v>171</v>
      </c>
      <c r="B105" s="2">
        <v>1060</v>
      </c>
      <c r="C105" s="6">
        <v>40229</v>
      </c>
      <c r="D105" s="4" t="s">
        <v>72</v>
      </c>
      <c r="E105" s="2">
        <v>30</v>
      </c>
      <c r="F105" s="5">
        <v>1187.55</v>
      </c>
      <c r="G105" s="5">
        <v>0</v>
      </c>
      <c r="H105" s="4" t="s">
        <v>15</v>
      </c>
      <c r="I105" s="5">
        <v>532.61</v>
      </c>
      <c r="J105" s="2">
        <v>37.700000000000003</v>
      </c>
      <c r="K105" s="5">
        <v>2.99</v>
      </c>
      <c r="L105" s="4" t="s">
        <v>285</v>
      </c>
      <c r="M105" s="4" t="s">
        <v>25</v>
      </c>
      <c r="N105" s="4" t="s">
        <v>26</v>
      </c>
      <c r="O105" s="4" t="s">
        <v>27</v>
      </c>
      <c r="P105" s="4" t="s">
        <v>19</v>
      </c>
      <c r="Q105" s="4" t="s">
        <v>111</v>
      </c>
      <c r="R105" s="2" t="s">
        <v>286</v>
      </c>
      <c r="S105" s="4" t="s">
        <v>51</v>
      </c>
      <c r="T105" s="2">
        <v>0.35</v>
      </c>
      <c r="U105" s="3">
        <v>40231</v>
      </c>
    </row>
    <row r="106" spans="1:21">
      <c r="A106" s="2">
        <v>172</v>
      </c>
      <c r="B106" s="2">
        <v>1088</v>
      </c>
      <c r="C106" s="6">
        <v>41049</v>
      </c>
      <c r="D106" s="4" t="s">
        <v>14</v>
      </c>
      <c r="E106" s="2">
        <v>13</v>
      </c>
      <c r="F106" s="5">
        <v>269.02</v>
      </c>
      <c r="G106" s="5">
        <v>0.1</v>
      </c>
      <c r="H106" s="4" t="s">
        <v>15</v>
      </c>
      <c r="I106" s="5">
        <v>-112</v>
      </c>
      <c r="J106" s="2">
        <v>20.97</v>
      </c>
      <c r="K106" s="5">
        <v>6.5</v>
      </c>
      <c r="L106" s="4" t="s">
        <v>287</v>
      </c>
      <c r="M106" s="4" t="s">
        <v>258</v>
      </c>
      <c r="N106" s="4" t="s">
        <v>86</v>
      </c>
      <c r="O106" s="4" t="s">
        <v>60</v>
      </c>
      <c r="P106" s="4" t="s">
        <v>40</v>
      </c>
      <c r="Q106" s="4" t="s">
        <v>45</v>
      </c>
      <c r="R106" s="2" t="s">
        <v>288</v>
      </c>
      <c r="S106" s="4" t="s">
        <v>51</v>
      </c>
      <c r="T106" s="2">
        <v>0.78</v>
      </c>
      <c r="U106" s="3">
        <v>41056</v>
      </c>
    </row>
    <row r="107" spans="1:21">
      <c r="A107" s="2">
        <v>175</v>
      </c>
      <c r="B107" s="2">
        <v>1154</v>
      </c>
      <c r="C107" s="6">
        <v>40953</v>
      </c>
      <c r="D107" s="4" t="s">
        <v>52</v>
      </c>
      <c r="E107" s="2">
        <v>44</v>
      </c>
      <c r="F107" s="5">
        <v>4462.2299999999996</v>
      </c>
      <c r="G107" s="5">
        <v>0.04</v>
      </c>
      <c r="H107" s="4" t="s">
        <v>37</v>
      </c>
      <c r="I107" s="5">
        <v>440.72</v>
      </c>
      <c r="J107" s="2">
        <v>100.98</v>
      </c>
      <c r="K107" s="5">
        <v>26.22</v>
      </c>
      <c r="L107" s="4" t="s">
        <v>290</v>
      </c>
      <c r="M107" s="4" t="s">
        <v>17</v>
      </c>
      <c r="N107" s="4" t="s">
        <v>17</v>
      </c>
      <c r="O107" s="4" t="s">
        <v>54</v>
      </c>
      <c r="P107" s="4" t="s">
        <v>33</v>
      </c>
      <c r="Q107" s="4" t="s">
        <v>87</v>
      </c>
      <c r="R107" s="2" t="s">
        <v>291</v>
      </c>
      <c r="S107" s="4" t="s">
        <v>39</v>
      </c>
      <c r="T107" s="2">
        <v>0.6</v>
      </c>
      <c r="U107" s="3">
        <v>40955</v>
      </c>
    </row>
    <row r="108" spans="1:21">
      <c r="A108" s="2">
        <v>179</v>
      </c>
      <c r="B108" s="2">
        <v>1185</v>
      </c>
      <c r="C108" s="6">
        <v>41144</v>
      </c>
      <c r="D108" s="4" t="s">
        <v>14</v>
      </c>
      <c r="E108" s="2">
        <v>7</v>
      </c>
      <c r="F108" s="5">
        <v>374.78</v>
      </c>
      <c r="G108" s="5">
        <v>0.09</v>
      </c>
      <c r="H108" s="4" t="s">
        <v>15</v>
      </c>
      <c r="I108" s="5">
        <v>20.03</v>
      </c>
      <c r="J108" s="2">
        <v>55.48</v>
      </c>
      <c r="K108" s="5">
        <v>14.3</v>
      </c>
      <c r="L108" s="4" t="s">
        <v>295</v>
      </c>
      <c r="M108" s="4" t="s">
        <v>258</v>
      </c>
      <c r="N108" s="4" t="s">
        <v>86</v>
      </c>
      <c r="O108" s="4" t="s">
        <v>54</v>
      </c>
      <c r="P108" s="4" t="s">
        <v>19</v>
      </c>
      <c r="Q108" s="4" t="s">
        <v>78</v>
      </c>
      <c r="R108" s="2" t="s">
        <v>296</v>
      </c>
      <c r="S108" s="4" t="s">
        <v>51</v>
      </c>
      <c r="T108" s="2">
        <v>0.37</v>
      </c>
      <c r="U108" s="3">
        <v>41148</v>
      </c>
    </row>
    <row r="109" spans="1:21">
      <c r="A109" s="2">
        <v>181</v>
      </c>
      <c r="B109" s="2">
        <v>1189</v>
      </c>
      <c r="C109" s="6">
        <v>39911</v>
      </c>
      <c r="D109" s="4" t="s">
        <v>52</v>
      </c>
      <c r="E109" s="2">
        <v>27</v>
      </c>
      <c r="F109" s="5">
        <v>129.1</v>
      </c>
      <c r="G109" s="5">
        <v>0</v>
      </c>
      <c r="H109" s="4" t="s">
        <v>15</v>
      </c>
      <c r="I109" s="5">
        <v>-59.82</v>
      </c>
      <c r="J109" s="2">
        <v>4.42</v>
      </c>
      <c r="K109" s="5">
        <v>4.99</v>
      </c>
      <c r="L109" s="4" t="s">
        <v>297</v>
      </c>
      <c r="M109" s="4" t="s">
        <v>66</v>
      </c>
      <c r="N109" s="4" t="s">
        <v>66</v>
      </c>
      <c r="O109" s="4" t="s">
        <v>18</v>
      </c>
      <c r="P109" s="4" t="s">
        <v>19</v>
      </c>
      <c r="Q109" s="4" t="s">
        <v>128</v>
      </c>
      <c r="R109" s="2" t="s">
        <v>298</v>
      </c>
      <c r="S109" s="4" t="s">
        <v>51</v>
      </c>
      <c r="T109" s="2">
        <v>0.38</v>
      </c>
      <c r="U109" s="3">
        <v>39912</v>
      </c>
    </row>
    <row r="110" spans="1:21">
      <c r="A110" s="2">
        <v>182</v>
      </c>
      <c r="B110" s="2">
        <v>1191</v>
      </c>
      <c r="C110" s="6">
        <v>40853</v>
      </c>
      <c r="D110" s="4" t="s">
        <v>72</v>
      </c>
      <c r="E110" s="2">
        <v>35</v>
      </c>
      <c r="F110" s="5">
        <v>3532.96</v>
      </c>
      <c r="G110" s="5">
        <v>0.08</v>
      </c>
      <c r="H110" s="4" t="s">
        <v>37</v>
      </c>
      <c r="I110" s="5">
        <v>-243.6</v>
      </c>
      <c r="J110" s="2">
        <v>100.8</v>
      </c>
      <c r="K110" s="5">
        <v>60</v>
      </c>
      <c r="L110" s="4" t="s">
        <v>299</v>
      </c>
      <c r="M110" s="4" t="s">
        <v>66</v>
      </c>
      <c r="N110" s="4" t="s">
        <v>66</v>
      </c>
      <c r="O110" s="4" t="s">
        <v>54</v>
      </c>
      <c r="P110" s="4" t="s">
        <v>33</v>
      </c>
      <c r="Q110" s="4" t="s">
        <v>38</v>
      </c>
      <c r="R110" s="2" t="s">
        <v>300</v>
      </c>
      <c r="S110" s="4" t="s">
        <v>121</v>
      </c>
      <c r="T110" s="2">
        <v>0.59</v>
      </c>
      <c r="U110" s="3">
        <v>40854</v>
      </c>
    </row>
    <row r="111" spans="1:21">
      <c r="A111" s="2">
        <v>183</v>
      </c>
      <c r="B111" s="2">
        <v>1217</v>
      </c>
      <c r="C111" s="6">
        <v>41024</v>
      </c>
      <c r="D111" s="4" t="s">
        <v>23</v>
      </c>
      <c r="E111" s="2">
        <v>25</v>
      </c>
      <c r="F111" s="5">
        <v>662.16</v>
      </c>
      <c r="G111" s="5">
        <v>7.0000000000000007E-2</v>
      </c>
      <c r="H111" s="4" t="s">
        <v>15</v>
      </c>
      <c r="I111" s="5">
        <v>185.21</v>
      </c>
      <c r="J111" s="2">
        <v>28.48</v>
      </c>
      <c r="K111" s="5">
        <v>1.99</v>
      </c>
      <c r="L111" s="4" t="s">
        <v>301</v>
      </c>
      <c r="M111" s="4" t="s">
        <v>43</v>
      </c>
      <c r="N111" s="4" t="s">
        <v>44</v>
      </c>
      <c r="O111" s="4" t="s">
        <v>27</v>
      </c>
      <c r="P111" s="4" t="s">
        <v>40</v>
      </c>
      <c r="Q111" s="4" t="s">
        <v>45</v>
      </c>
      <c r="R111" s="2" t="s">
        <v>280</v>
      </c>
      <c r="S111" s="4" t="s">
        <v>30</v>
      </c>
      <c r="T111" s="2">
        <v>0.4</v>
      </c>
      <c r="U111" s="3">
        <v>41025</v>
      </c>
    </row>
    <row r="112" spans="1:21">
      <c r="A112" s="2">
        <v>184</v>
      </c>
      <c r="B112" s="2">
        <v>1218</v>
      </c>
      <c r="C112" s="6">
        <v>39983</v>
      </c>
      <c r="D112" s="4" t="s">
        <v>23</v>
      </c>
      <c r="E112" s="2">
        <v>3</v>
      </c>
      <c r="F112" s="5">
        <v>46.46</v>
      </c>
      <c r="G112" s="5">
        <v>0.1</v>
      </c>
      <c r="H112" s="4" t="s">
        <v>15</v>
      </c>
      <c r="I112" s="5">
        <v>-25.13</v>
      </c>
      <c r="J112" s="2">
        <v>14.42</v>
      </c>
      <c r="K112" s="5">
        <v>6.75</v>
      </c>
      <c r="L112" s="4" t="s">
        <v>302</v>
      </c>
      <c r="M112" s="4" t="s">
        <v>57</v>
      </c>
      <c r="N112" s="4" t="s">
        <v>57</v>
      </c>
      <c r="O112" s="4" t="s">
        <v>27</v>
      </c>
      <c r="P112" s="4" t="s">
        <v>19</v>
      </c>
      <c r="Q112" s="4" t="s">
        <v>117</v>
      </c>
      <c r="R112" s="2" t="s">
        <v>303</v>
      </c>
      <c r="S112" s="4" t="s">
        <v>36</v>
      </c>
      <c r="T112" s="2">
        <v>0.52</v>
      </c>
      <c r="U112" s="3">
        <v>39986</v>
      </c>
    </row>
    <row r="113" spans="1:21">
      <c r="A113" s="2">
        <v>185</v>
      </c>
      <c r="B113" s="2">
        <v>1221</v>
      </c>
      <c r="C113" s="6">
        <v>41017</v>
      </c>
      <c r="D113" s="4" t="s">
        <v>23</v>
      </c>
      <c r="E113" s="2">
        <v>1</v>
      </c>
      <c r="F113" s="5">
        <v>14.68</v>
      </c>
      <c r="G113" s="5">
        <v>0.06</v>
      </c>
      <c r="H113" s="4" t="s">
        <v>15</v>
      </c>
      <c r="I113" s="5">
        <v>-13.78</v>
      </c>
      <c r="J113" s="2">
        <v>8.6</v>
      </c>
      <c r="K113" s="5">
        <v>6.19</v>
      </c>
      <c r="L113" s="4" t="s">
        <v>304</v>
      </c>
      <c r="M113" s="4" t="s">
        <v>47</v>
      </c>
      <c r="N113" s="4" t="s">
        <v>26</v>
      </c>
      <c r="O113" s="4" t="s">
        <v>27</v>
      </c>
      <c r="P113" s="4" t="s">
        <v>19</v>
      </c>
      <c r="Q113" s="4" t="s">
        <v>111</v>
      </c>
      <c r="R113" s="2" t="s">
        <v>305</v>
      </c>
      <c r="S113" s="4" t="s">
        <v>51</v>
      </c>
      <c r="T113" s="2">
        <v>0.38</v>
      </c>
      <c r="U113" s="3">
        <v>41017</v>
      </c>
    </row>
    <row r="114" spans="1:21">
      <c r="A114" s="2">
        <v>188</v>
      </c>
      <c r="B114" s="2">
        <v>1222</v>
      </c>
      <c r="C114" s="6">
        <v>40213</v>
      </c>
      <c r="D114" s="4" t="s">
        <v>72</v>
      </c>
      <c r="E114" s="2">
        <v>48</v>
      </c>
      <c r="F114" s="5">
        <v>257.39</v>
      </c>
      <c r="G114" s="5">
        <v>0.08</v>
      </c>
      <c r="H114" s="4" t="s">
        <v>15</v>
      </c>
      <c r="I114" s="5">
        <v>-121.91</v>
      </c>
      <c r="J114" s="2">
        <v>5.28</v>
      </c>
      <c r="K114" s="5">
        <v>5.57</v>
      </c>
      <c r="L114" s="4" t="s">
        <v>307</v>
      </c>
      <c r="M114" s="4" t="s">
        <v>25</v>
      </c>
      <c r="N114" s="4" t="s">
        <v>26</v>
      </c>
      <c r="O114" s="4" t="s">
        <v>54</v>
      </c>
      <c r="P114" s="4" t="s">
        <v>19</v>
      </c>
      <c r="Q114" s="4" t="s">
        <v>78</v>
      </c>
      <c r="R114" s="2" t="s">
        <v>308</v>
      </c>
      <c r="S114" s="4" t="s">
        <v>51</v>
      </c>
      <c r="T114" s="2">
        <v>0.4</v>
      </c>
      <c r="U114" s="3">
        <v>40213</v>
      </c>
    </row>
    <row r="115" spans="1:21">
      <c r="A115" s="2">
        <v>189</v>
      </c>
      <c r="B115" s="2">
        <v>1253</v>
      </c>
      <c r="C115" s="6">
        <v>40203</v>
      </c>
      <c r="D115" s="4" t="s">
        <v>52</v>
      </c>
      <c r="E115" s="2">
        <v>15</v>
      </c>
      <c r="F115" s="5">
        <v>494.34</v>
      </c>
      <c r="G115" s="5">
        <v>0.05</v>
      </c>
      <c r="H115" s="4" t="s">
        <v>15</v>
      </c>
      <c r="I115" s="5">
        <v>-30.19</v>
      </c>
      <c r="J115" s="2">
        <v>31.98</v>
      </c>
      <c r="K115" s="5">
        <v>6.72</v>
      </c>
      <c r="L115" s="4" t="s">
        <v>309</v>
      </c>
      <c r="M115" s="4" t="s">
        <v>70</v>
      </c>
      <c r="N115" s="4" t="s">
        <v>44</v>
      </c>
      <c r="O115" s="4" t="s">
        <v>60</v>
      </c>
      <c r="P115" s="4" t="s">
        <v>19</v>
      </c>
      <c r="Q115" s="4" t="s">
        <v>20</v>
      </c>
      <c r="R115" s="2" t="s">
        <v>310</v>
      </c>
      <c r="S115" s="4" t="s">
        <v>51</v>
      </c>
      <c r="T115" s="2">
        <v>0.75</v>
      </c>
      <c r="U115" s="3">
        <v>40203</v>
      </c>
    </row>
    <row r="116" spans="1:21">
      <c r="A116" s="2">
        <v>191</v>
      </c>
      <c r="B116" s="2">
        <v>1282</v>
      </c>
      <c r="C116" s="6">
        <v>40966</v>
      </c>
      <c r="D116" s="4" t="s">
        <v>23</v>
      </c>
      <c r="E116" s="2">
        <v>26</v>
      </c>
      <c r="F116" s="5">
        <v>892.38</v>
      </c>
      <c r="G116" s="5">
        <v>0</v>
      </c>
      <c r="H116" s="4" t="s">
        <v>15</v>
      </c>
      <c r="I116" s="5">
        <v>366.48</v>
      </c>
      <c r="J116" s="2">
        <v>31.78</v>
      </c>
      <c r="K116" s="5">
        <v>1.99</v>
      </c>
      <c r="L116" s="4" t="s">
        <v>311</v>
      </c>
      <c r="M116" s="4" t="s">
        <v>47</v>
      </c>
      <c r="N116" s="4" t="s">
        <v>26</v>
      </c>
      <c r="O116" s="4" t="s">
        <v>54</v>
      </c>
      <c r="P116" s="4" t="s">
        <v>40</v>
      </c>
      <c r="Q116" s="4" t="s">
        <v>45</v>
      </c>
      <c r="R116" s="2" t="s">
        <v>312</v>
      </c>
      <c r="S116" s="4" t="s">
        <v>30</v>
      </c>
      <c r="T116" s="2">
        <v>0.42</v>
      </c>
      <c r="U116" s="3">
        <v>40968</v>
      </c>
    </row>
    <row r="117" spans="1:21">
      <c r="A117" s="2">
        <v>193</v>
      </c>
      <c r="B117" s="2">
        <v>1285</v>
      </c>
      <c r="C117" s="6">
        <v>41060</v>
      </c>
      <c r="D117" s="4" t="s">
        <v>52</v>
      </c>
      <c r="E117" s="2">
        <v>27</v>
      </c>
      <c r="F117" s="5">
        <v>3874.12</v>
      </c>
      <c r="G117" s="5">
        <v>0</v>
      </c>
      <c r="H117" s="4" t="s">
        <v>37</v>
      </c>
      <c r="I117" s="5">
        <v>-305.98</v>
      </c>
      <c r="J117" s="2">
        <v>130.97999999999999</v>
      </c>
      <c r="K117" s="5">
        <v>54.74</v>
      </c>
      <c r="L117" s="4" t="s">
        <v>313</v>
      </c>
      <c r="M117" s="4" t="s">
        <v>85</v>
      </c>
      <c r="N117" s="4" t="s">
        <v>86</v>
      </c>
      <c r="O117" s="4" t="s">
        <v>27</v>
      </c>
      <c r="P117" s="4" t="s">
        <v>33</v>
      </c>
      <c r="Q117" s="4" t="s">
        <v>87</v>
      </c>
      <c r="R117" s="2" t="s">
        <v>88</v>
      </c>
      <c r="S117" s="4" t="s">
        <v>39</v>
      </c>
      <c r="T117" s="2">
        <v>0.69</v>
      </c>
      <c r="U117" s="3">
        <v>41060</v>
      </c>
    </row>
    <row r="118" spans="1:21">
      <c r="A118" s="2">
        <v>195</v>
      </c>
      <c r="B118" s="2">
        <v>1286</v>
      </c>
      <c r="C118" s="6">
        <v>40311</v>
      </c>
      <c r="D118" s="4" t="s">
        <v>23</v>
      </c>
      <c r="E118" s="2">
        <v>46</v>
      </c>
      <c r="F118" s="5">
        <v>234.37</v>
      </c>
      <c r="G118" s="5">
        <v>0.05</v>
      </c>
      <c r="H118" s="4" t="s">
        <v>15</v>
      </c>
      <c r="I118" s="5">
        <v>-144.68</v>
      </c>
      <c r="J118" s="2">
        <v>5.18</v>
      </c>
      <c r="K118" s="5">
        <v>5.74</v>
      </c>
      <c r="L118" s="4" t="s">
        <v>314</v>
      </c>
      <c r="M118" s="4" t="s">
        <v>57</v>
      </c>
      <c r="N118" s="4" t="s">
        <v>57</v>
      </c>
      <c r="O118" s="4" t="s">
        <v>54</v>
      </c>
      <c r="P118" s="4" t="s">
        <v>19</v>
      </c>
      <c r="Q118" s="4" t="s">
        <v>111</v>
      </c>
      <c r="R118" s="2" t="s">
        <v>315</v>
      </c>
      <c r="S118" s="4" t="s">
        <v>51</v>
      </c>
      <c r="T118" s="2">
        <v>0.36</v>
      </c>
      <c r="U118" s="3">
        <v>40312</v>
      </c>
    </row>
    <row r="119" spans="1:21">
      <c r="A119" s="2">
        <v>197</v>
      </c>
      <c r="B119" s="2">
        <v>1287</v>
      </c>
      <c r="C119" s="6">
        <v>39998</v>
      </c>
      <c r="D119" s="4" t="s">
        <v>31</v>
      </c>
      <c r="E119" s="2">
        <v>39</v>
      </c>
      <c r="F119" s="5">
        <v>3908.65</v>
      </c>
      <c r="G119" s="5">
        <v>0.06</v>
      </c>
      <c r="H119" s="4" t="s">
        <v>15</v>
      </c>
      <c r="I119" s="5">
        <v>480.57</v>
      </c>
      <c r="J119" s="2">
        <v>105.29</v>
      </c>
      <c r="K119" s="5">
        <v>10.119999999999999</v>
      </c>
      <c r="L119" s="4" t="s">
        <v>316</v>
      </c>
      <c r="M119" s="4" t="s">
        <v>43</v>
      </c>
      <c r="N119" s="4" t="s">
        <v>44</v>
      </c>
      <c r="O119" s="4" t="s">
        <v>27</v>
      </c>
      <c r="P119" s="4" t="s">
        <v>33</v>
      </c>
      <c r="Q119" s="4" t="s">
        <v>34</v>
      </c>
      <c r="R119" s="2" t="s">
        <v>317</v>
      </c>
      <c r="S119" s="4" t="s">
        <v>22</v>
      </c>
      <c r="T119" s="2">
        <v>0.79</v>
      </c>
      <c r="U119" s="3">
        <v>40000</v>
      </c>
    </row>
    <row r="120" spans="1:21">
      <c r="A120" s="2">
        <v>199</v>
      </c>
      <c r="B120" s="2">
        <v>1314</v>
      </c>
      <c r="C120" s="6">
        <v>39945</v>
      </c>
      <c r="D120" s="4" t="s">
        <v>72</v>
      </c>
      <c r="E120" s="2">
        <v>4</v>
      </c>
      <c r="F120" s="5">
        <v>42.58</v>
      </c>
      <c r="G120" s="5">
        <v>0</v>
      </c>
      <c r="H120" s="4" t="s">
        <v>15</v>
      </c>
      <c r="I120" s="5">
        <v>-7.61</v>
      </c>
      <c r="J120" s="2">
        <v>9.27</v>
      </c>
      <c r="K120" s="5">
        <v>4.3899999999999997</v>
      </c>
      <c r="L120" s="4" t="s">
        <v>318</v>
      </c>
      <c r="M120" s="4" t="s">
        <v>47</v>
      </c>
      <c r="N120" s="4" t="s">
        <v>26</v>
      </c>
      <c r="O120" s="4" t="s">
        <v>27</v>
      </c>
      <c r="P120" s="4" t="s">
        <v>19</v>
      </c>
      <c r="Q120" s="4" t="s">
        <v>78</v>
      </c>
      <c r="R120" s="2" t="s">
        <v>319</v>
      </c>
      <c r="S120" s="4" t="s">
        <v>50</v>
      </c>
      <c r="T120" s="2">
        <v>0.38</v>
      </c>
      <c r="U120" s="3">
        <v>39947</v>
      </c>
    </row>
    <row r="121" spans="1:21">
      <c r="A121" s="2">
        <v>203</v>
      </c>
      <c r="B121" s="2">
        <v>1344</v>
      </c>
      <c r="C121" s="6">
        <v>41014</v>
      </c>
      <c r="D121" s="4" t="s">
        <v>14</v>
      </c>
      <c r="E121" s="2">
        <v>15</v>
      </c>
      <c r="F121" s="5">
        <v>834.904</v>
      </c>
      <c r="G121" s="5">
        <v>0.06</v>
      </c>
      <c r="H121" s="4" t="s">
        <v>15</v>
      </c>
      <c r="I121" s="5">
        <v>-11.68</v>
      </c>
      <c r="J121" s="2">
        <v>65.989999999999995</v>
      </c>
      <c r="K121" s="5">
        <v>5.26</v>
      </c>
      <c r="L121" s="4" t="s">
        <v>320</v>
      </c>
      <c r="M121" s="4" t="s">
        <v>17</v>
      </c>
      <c r="N121" s="4" t="s">
        <v>17</v>
      </c>
      <c r="O121" s="4" t="s">
        <v>27</v>
      </c>
      <c r="P121" s="4" t="s">
        <v>40</v>
      </c>
      <c r="Q121" s="4" t="s">
        <v>41</v>
      </c>
      <c r="R121" s="2" t="s">
        <v>321</v>
      </c>
      <c r="S121" s="4" t="s">
        <v>51</v>
      </c>
      <c r="T121" s="2">
        <v>0.59</v>
      </c>
      <c r="U121" s="3">
        <v>41021</v>
      </c>
    </row>
    <row r="122" spans="1:21">
      <c r="A122" s="2">
        <v>205</v>
      </c>
      <c r="B122" s="2">
        <v>1345</v>
      </c>
      <c r="C122" s="6">
        <v>41209</v>
      </c>
      <c r="D122" s="4" t="s">
        <v>14</v>
      </c>
      <c r="E122" s="2">
        <v>24</v>
      </c>
      <c r="F122" s="5">
        <v>2443.85</v>
      </c>
      <c r="G122" s="5">
        <v>0.08</v>
      </c>
      <c r="H122" s="4" t="s">
        <v>37</v>
      </c>
      <c r="I122" s="5">
        <v>-120.85</v>
      </c>
      <c r="J122" s="2">
        <v>100.98</v>
      </c>
      <c r="K122" s="5">
        <v>35.840000000000003</v>
      </c>
      <c r="L122" s="4" t="s">
        <v>322</v>
      </c>
      <c r="M122" s="4" t="s">
        <v>57</v>
      </c>
      <c r="N122" s="4" t="s">
        <v>57</v>
      </c>
      <c r="O122" s="4" t="s">
        <v>27</v>
      </c>
      <c r="P122" s="4" t="s">
        <v>33</v>
      </c>
      <c r="Q122" s="4" t="s">
        <v>87</v>
      </c>
      <c r="R122" s="2" t="s">
        <v>323</v>
      </c>
      <c r="S122" s="4" t="s">
        <v>39</v>
      </c>
      <c r="T122" s="2">
        <v>0.62</v>
      </c>
      <c r="U122" s="3">
        <v>41213</v>
      </c>
    </row>
    <row r="123" spans="1:21">
      <c r="A123" s="2">
        <v>207</v>
      </c>
      <c r="B123" s="2">
        <v>1382</v>
      </c>
      <c r="C123" s="6">
        <v>40406</v>
      </c>
      <c r="D123" s="4" t="s">
        <v>14</v>
      </c>
      <c r="E123" s="2">
        <v>5</v>
      </c>
      <c r="F123" s="5">
        <v>89.334999999999994</v>
      </c>
      <c r="G123" s="5">
        <v>0.06</v>
      </c>
      <c r="H123" s="4" t="s">
        <v>15</v>
      </c>
      <c r="I123" s="5">
        <v>-107.1</v>
      </c>
      <c r="J123" s="2">
        <v>20.99</v>
      </c>
      <c r="K123" s="5">
        <v>2.5</v>
      </c>
      <c r="L123" s="4" t="s">
        <v>324</v>
      </c>
      <c r="M123" s="4" t="s">
        <v>294</v>
      </c>
      <c r="N123" s="4" t="s">
        <v>86</v>
      </c>
      <c r="O123" s="4" t="s">
        <v>54</v>
      </c>
      <c r="P123" s="4" t="s">
        <v>40</v>
      </c>
      <c r="Q123" s="4" t="s">
        <v>41</v>
      </c>
      <c r="R123" s="2" t="s">
        <v>325</v>
      </c>
      <c r="S123" s="4" t="s">
        <v>50</v>
      </c>
      <c r="T123" s="2">
        <v>0.81</v>
      </c>
      <c r="U123" s="3">
        <v>40410</v>
      </c>
    </row>
    <row r="124" spans="1:21">
      <c r="A124" s="2">
        <v>210</v>
      </c>
      <c r="B124" s="2">
        <v>1383</v>
      </c>
      <c r="C124" s="6">
        <v>40294</v>
      </c>
      <c r="D124" s="4" t="s">
        <v>31</v>
      </c>
      <c r="E124" s="2">
        <v>43</v>
      </c>
      <c r="F124" s="5">
        <v>17129.97</v>
      </c>
      <c r="G124" s="5">
        <v>7.0000000000000007E-2</v>
      </c>
      <c r="H124" s="4" t="s">
        <v>15</v>
      </c>
      <c r="I124" s="5">
        <v>5616.08</v>
      </c>
      <c r="J124" s="2">
        <v>415.88</v>
      </c>
      <c r="K124" s="5">
        <v>11.37</v>
      </c>
      <c r="L124" s="4" t="s">
        <v>328</v>
      </c>
      <c r="M124" s="4" t="s">
        <v>25</v>
      </c>
      <c r="N124" s="4" t="s">
        <v>26</v>
      </c>
      <c r="O124" s="4" t="s">
        <v>60</v>
      </c>
      <c r="P124" s="4" t="s">
        <v>19</v>
      </c>
      <c r="Q124" s="4" t="s">
        <v>20</v>
      </c>
      <c r="R124" s="2" t="s">
        <v>329</v>
      </c>
      <c r="S124" s="4" t="s">
        <v>51</v>
      </c>
      <c r="T124" s="2">
        <v>0.56999999999999995</v>
      </c>
      <c r="U124" s="3">
        <v>40295</v>
      </c>
    </row>
    <row r="125" spans="1:21">
      <c r="A125" s="2">
        <v>211</v>
      </c>
      <c r="B125" s="2">
        <v>1411</v>
      </c>
      <c r="C125" s="6">
        <v>40167</v>
      </c>
      <c r="D125" s="4" t="s">
        <v>31</v>
      </c>
      <c r="E125" s="2">
        <v>39</v>
      </c>
      <c r="F125" s="5">
        <v>5748.2</v>
      </c>
      <c r="G125" s="5">
        <v>0.09</v>
      </c>
      <c r="H125" s="4" t="s">
        <v>37</v>
      </c>
      <c r="I125" s="5">
        <v>-459.86</v>
      </c>
      <c r="J125" s="2">
        <v>160.97999999999999</v>
      </c>
      <c r="K125" s="5">
        <v>35.020000000000003</v>
      </c>
      <c r="L125" s="4" t="s">
        <v>330</v>
      </c>
      <c r="M125" s="4" t="s">
        <v>294</v>
      </c>
      <c r="N125" s="4" t="s">
        <v>86</v>
      </c>
      <c r="O125" s="4" t="s">
        <v>18</v>
      </c>
      <c r="P125" s="4" t="s">
        <v>33</v>
      </c>
      <c r="Q125" s="4" t="s">
        <v>87</v>
      </c>
      <c r="R125" s="2" t="s">
        <v>331</v>
      </c>
      <c r="S125" s="4" t="s">
        <v>39</v>
      </c>
      <c r="T125" s="2">
        <v>0.72</v>
      </c>
      <c r="U125" s="3">
        <v>40168</v>
      </c>
    </row>
    <row r="126" spans="1:21">
      <c r="A126" s="2">
        <v>215</v>
      </c>
      <c r="B126" s="2">
        <v>1414</v>
      </c>
      <c r="C126" s="6">
        <v>40770</v>
      </c>
      <c r="D126" s="4" t="s">
        <v>52</v>
      </c>
      <c r="E126" s="2">
        <v>44</v>
      </c>
      <c r="F126" s="5">
        <v>4530.96</v>
      </c>
      <c r="G126" s="5">
        <v>7.0000000000000007E-2</v>
      </c>
      <c r="H126" s="4" t="s">
        <v>37</v>
      </c>
      <c r="I126" s="5">
        <v>-993.35</v>
      </c>
      <c r="J126" s="2">
        <v>105.49</v>
      </c>
      <c r="K126" s="5">
        <v>41.64</v>
      </c>
      <c r="L126" s="4" t="s">
        <v>334</v>
      </c>
      <c r="M126" s="4" t="s">
        <v>47</v>
      </c>
      <c r="N126" s="4" t="s">
        <v>26</v>
      </c>
      <c r="O126" s="4" t="s">
        <v>18</v>
      </c>
      <c r="P126" s="4" t="s">
        <v>33</v>
      </c>
      <c r="Q126" s="4" t="s">
        <v>38</v>
      </c>
      <c r="R126" s="2" t="s">
        <v>335</v>
      </c>
      <c r="S126" s="4" t="s">
        <v>39</v>
      </c>
      <c r="T126" s="2">
        <v>0.75</v>
      </c>
      <c r="U126" s="3">
        <v>40770</v>
      </c>
    </row>
    <row r="127" spans="1:21">
      <c r="A127" s="2">
        <v>216</v>
      </c>
      <c r="B127" s="2">
        <v>1440</v>
      </c>
      <c r="C127" s="6">
        <v>40764</v>
      </c>
      <c r="D127" s="4" t="s">
        <v>14</v>
      </c>
      <c r="E127" s="2">
        <v>41</v>
      </c>
      <c r="F127" s="5">
        <v>726.22</v>
      </c>
      <c r="G127" s="5">
        <v>0.01</v>
      </c>
      <c r="H127" s="4" t="s">
        <v>15</v>
      </c>
      <c r="I127" s="5">
        <v>52.47</v>
      </c>
      <c r="J127" s="2">
        <v>17.670000000000002</v>
      </c>
      <c r="K127" s="5">
        <v>8.99</v>
      </c>
      <c r="L127" s="4" t="s">
        <v>336</v>
      </c>
      <c r="M127" s="4" t="s">
        <v>70</v>
      </c>
      <c r="N127" s="4" t="s">
        <v>44</v>
      </c>
      <c r="O127" s="4" t="s">
        <v>18</v>
      </c>
      <c r="P127" s="4" t="s">
        <v>33</v>
      </c>
      <c r="Q127" s="4" t="s">
        <v>34</v>
      </c>
      <c r="R127" s="2" t="s">
        <v>337</v>
      </c>
      <c r="S127" s="4" t="s">
        <v>30</v>
      </c>
      <c r="T127" s="2">
        <v>0.47</v>
      </c>
      <c r="U127" s="3">
        <v>40766</v>
      </c>
    </row>
    <row r="128" spans="1:21">
      <c r="A128" s="2">
        <v>217</v>
      </c>
      <c r="B128" s="2">
        <v>1444</v>
      </c>
      <c r="C128" s="6">
        <v>40152</v>
      </c>
      <c r="D128" s="4" t="s">
        <v>72</v>
      </c>
      <c r="E128" s="2">
        <v>32</v>
      </c>
      <c r="F128" s="5">
        <v>21717.360000000001</v>
      </c>
      <c r="G128" s="5">
        <v>0.06</v>
      </c>
      <c r="H128" s="4" t="s">
        <v>64</v>
      </c>
      <c r="I128" s="5">
        <v>8249.86</v>
      </c>
      <c r="J128" s="2">
        <v>699.99</v>
      </c>
      <c r="K128" s="5">
        <v>24.49</v>
      </c>
      <c r="L128" s="4" t="s">
        <v>338</v>
      </c>
      <c r="M128" s="4" t="s">
        <v>85</v>
      </c>
      <c r="N128" s="4" t="s">
        <v>86</v>
      </c>
      <c r="O128" s="4" t="s">
        <v>54</v>
      </c>
      <c r="P128" s="4" t="s">
        <v>40</v>
      </c>
      <c r="Q128" s="4" t="s">
        <v>339</v>
      </c>
      <c r="R128" s="2" t="s">
        <v>340</v>
      </c>
      <c r="S128" s="4" t="s">
        <v>22</v>
      </c>
      <c r="T128" s="2">
        <v>0.41</v>
      </c>
      <c r="U128" s="3">
        <v>40154</v>
      </c>
    </row>
    <row r="129" spans="1:21">
      <c r="A129" s="2">
        <v>222</v>
      </c>
      <c r="B129" s="2">
        <v>1445</v>
      </c>
      <c r="C129" s="6">
        <v>40552</v>
      </c>
      <c r="D129" s="4" t="s">
        <v>72</v>
      </c>
      <c r="E129" s="2">
        <v>3</v>
      </c>
      <c r="F129" s="5">
        <v>1326.09</v>
      </c>
      <c r="G129" s="5">
        <v>0</v>
      </c>
      <c r="H129" s="4" t="s">
        <v>15</v>
      </c>
      <c r="I129" s="5">
        <v>-20.55</v>
      </c>
      <c r="J129" s="2">
        <v>420.98</v>
      </c>
      <c r="K129" s="5">
        <v>19.989999999999998</v>
      </c>
      <c r="L129" s="4" t="s">
        <v>341</v>
      </c>
      <c r="M129" s="4" t="s">
        <v>47</v>
      </c>
      <c r="N129" s="4" t="s">
        <v>26</v>
      </c>
      <c r="O129" s="4" t="s">
        <v>27</v>
      </c>
      <c r="P129" s="4" t="s">
        <v>19</v>
      </c>
      <c r="Q129" s="4" t="s">
        <v>111</v>
      </c>
      <c r="R129" s="2" t="s">
        <v>342</v>
      </c>
      <c r="S129" s="4" t="s">
        <v>51</v>
      </c>
      <c r="T129" s="2">
        <v>0.35</v>
      </c>
      <c r="U129" s="3">
        <v>40555</v>
      </c>
    </row>
    <row r="130" spans="1:21">
      <c r="A130" s="2">
        <v>224</v>
      </c>
      <c r="B130" s="2">
        <v>1447</v>
      </c>
      <c r="C130" s="6">
        <v>41196</v>
      </c>
      <c r="D130" s="4" t="s">
        <v>31</v>
      </c>
      <c r="E130" s="2">
        <v>40</v>
      </c>
      <c r="F130" s="5">
        <v>2135.9735000000001</v>
      </c>
      <c r="G130" s="5">
        <v>7.0000000000000007E-2</v>
      </c>
      <c r="H130" s="4" t="s">
        <v>15</v>
      </c>
      <c r="I130" s="5">
        <v>239.4</v>
      </c>
      <c r="J130" s="2">
        <v>65.989999999999995</v>
      </c>
      <c r="K130" s="5">
        <v>8.99</v>
      </c>
      <c r="L130" s="4" t="s">
        <v>343</v>
      </c>
      <c r="M130" s="4" t="s">
        <v>66</v>
      </c>
      <c r="N130" s="4" t="s">
        <v>66</v>
      </c>
      <c r="O130" s="4" t="s">
        <v>60</v>
      </c>
      <c r="P130" s="4" t="s">
        <v>40</v>
      </c>
      <c r="Q130" s="4" t="s">
        <v>41</v>
      </c>
      <c r="R130" s="2" t="s">
        <v>344</v>
      </c>
      <c r="S130" s="4" t="s">
        <v>51</v>
      </c>
      <c r="T130" s="2">
        <v>0.59</v>
      </c>
      <c r="U130" s="3">
        <v>41199</v>
      </c>
    </row>
    <row r="131" spans="1:21">
      <c r="A131" s="2">
        <v>225</v>
      </c>
      <c r="B131" s="2">
        <v>1504</v>
      </c>
      <c r="C131" s="6">
        <v>41148</v>
      </c>
      <c r="D131" s="4" t="s">
        <v>72</v>
      </c>
      <c r="E131" s="2">
        <v>31</v>
      </c>
      <c r="F131" s="5">
        <v>293.18</v>
      </c>
      <c r="G131" s="5">
        <v>0.08</v>
      </c>
      <c r="H131" s="4" t="s">
        <v>15</v>
      </c>
      <c r="I131" s="5">
        <v>64.22</v>
      </c>
      <c r="J131" s="2">
        <v>10.01</v>
      </c>
      <c r="K131" s="5">
        <v>1.99</v>
      </c>
      <c r="L131" s="4" t="s">
        <v>345</v>
      </c>
      <c r="M131" s="4" t="s">
        <v>258</v>
      </c>
      <c r="N131" s="4" t="s">
        <v>86</v>
      </c>
      <c r="O131" s="4" t="s">
        <v>27</v>
      </c>
      <c r="P131" s="4" t="s">
        <v>40</v>
      </c>
      <c r="Q131" s="4" t="s">
        <v>45</v>
      </c>
      <c r="R131" s="2" t="s">
        <v>346</v>
      </c>
      <c r="S131" s="4" t="s">
        <v>30</v>
      </c>
      <c r="T131" s="2">
        <v>0.41</v>
      </c>
      <c r="U131" s="3">
        <v>41149</v>
      </c>
    </row>
    <row r="132" spans="1:21">
      <c r="A132" s="2">
        <v>226</v>
      </c>
      <c r="B132" s="2">
        <v>1507</v>
      </c>
      <c r="C132" s="6">
        <v>40464</v>
      </c>
      <c r="D132" s="4" t="s">
        <v>72</v>
      </c>
      <c r="E132" s="2">
        <v>29</v>
      </c>
      <c r="F132" s="5">
        <v>4345.8599999999997</v>
      </c>
      <c r="G132" s="5">
        <v>0.09</v>
      </c>
      <c r="H132" s="4" t="s">
        <v>15</v>
      </c>
      <c r="I132" s="5">
        <v>126.62</v>
      </c>
      <c r="J132" s="2">
        <v>152.47999999999999</v>
      </c>
      <c r="K132" s="5">
        <v>4</v>
      </c>
      <c r="L132" s="4" t="s">
        <v>347</v>
      </c>
      <c r="M132" s="4" t="s">
        <v>57</v>
      </c>
      <c r="N132" s="4" t="s">
        <v>57</v>
      </c>
      <c r="O132" s="4" t="s">
        <v>54</v>
      </c>
      <c r="P132" s="4" t="s">
        <v>40</v>
      </c>
      <c r="Q132" s="4" t="s">
        <v>45</v>
      </c>
      <c r="R132" s="2" t="s">
        <v>348</v>
      </c>
      <c r="S132" s="4" t="s">
        <v>51</v>
      </c>
      <c r="T132" s="2">
        <v>0.79</v>
      </c>
      <c r="U132" s="3">
        <v>40466</v>
      </c>
    </row>
    <row r="133" spans="1:21">
      <c r="A133" s="2">
        <v>227</v>
      </c>
      <c r="B133" s="2">
        <v>1537</v>
      </c>
      <c r="C133" s="6">
        <v>40953</v>
      </c>
      <c r="D133" s="4" t="s">
        <v>23</v>
      </c>
      <c r="E133" s="2">
        <v>5</v>
      </c>
      <c r="F133" s="5">
        <v>16.600000000000001</v>
      </c>
      <c r="G133" s="5">
        <v>7.0000000000000007E-2</v>
      </c>
      <c r="H133" s="4" t="s">
        <v>15</v>
      </c>
      <c r="I133" s="5">
        <v>-20.3</v>
      </c>
      <c r="J133" s="2">
        <v>2.16</v>
      </c>
      <c r="K133" s="5">
        <v>6.05</v>
      </c>
      <c r="L133" s="4" t="s">
        <v>349</v>
      </c>
      <c r="M133" s="4" t="s">
        <v>66</v>
      </c>
      <c r="N133" s="4" t="s">
        <v>66</v>
      </c>
      <c r="O133" s="4" t="s">
        <v>27</v>
      </c>
      <c r="P133" s="4" t="s">
        <v>19</v>
      </c>
      <c r="Q133" s="4" t="s">
        <v>111</v>
      </c>
      <c r="R133" s="2" t="s">
        <v>350</v>
      </c>
      <c r="S133" s="4" t="s">
        <v>51</v>
      </c>
      <c r="T133" s="2">
        <v>0.37</v>
      </c>
      <c r="U133" s="3">
        <v>40953</v>
      </c>
    </row>
    <row r="134" spans="1:21">
      <c r="A134" s="2">
        <v>228</v>
      </c>
      <c r="B134" s="2">
        <v>1538</v>
      </c>
      <c r="C134" s="6">
        <v>40711</v>
      </c>
      <c r="D134" s="4" t="s">
        <v>23</v>
      </c>
      <c r="E134" s="2">
        <v>15</v>
      </c>
      <c r="F134" s="5">
        <v>1297.3040000000001</v>
      </c>
      <c r="G134" s="5">
        <v>0</v>
      </c>
      <c r="H134" s="4" t="s">
        <v>15</v>
      </c>
      <c r="I134" s="5">
        <v>149.82</v>
      </c>
      <c r="J134" s="2">
        <v>95.99</v>
      </c>
      <c r="K134" s="5">
        <v>4.9000000000000004</v>
      </c>
      <c r="L134" s="4" t="s">
        <v>351</v>
      </c>
      <c r="M134" s="4" t="s">
        <v>57</v>
      </c>
      <c r="N134" s="4" t="s">
        <v>57</v>
      </c>
      <c r="O134" s="4" t="s">
        <v>27</v>
      </c>
      <c r="P134" s="4" t="s">
        <v>40</v>
      </c>
      <c r="Q134" s="4" t="s">
        <v>41</v>
      </c>
      <c r="R134" s="2" t="s">
        <v>352</v>
      </c>
      <c r="S134" s="4" t="s">
        <v>51</v>
      </c>
      <c r="T134" s="2">
        <v>0.56000000000000005</v>
      </c>
      <c r="U134" s="3">
        <v>40712</v>
      </c>
    </row>
    <row r="135" spans="1:21">
      <c r="A135" s="2">
        <v>229</v>
      </c>
      <c r="B135" s="2">
        <v>1539</v>
      </c>
      <c r="C135" s="6">
        <v>40611</v>
      </c>
      <c r="D135" s="4" t="s">
        <v>14</v>
      </c>
      <c r="E135" s="2">
        <v>33</v>
      </c>
      <c r="F135" s="5">
        <v>511.83</v>
      </c>
      <c r="G135" s="5">
        <v>0.1</v>
      </c>
      <c r="H135" s="4" t="s">
        <v>15</v>
      </c>
      <c r="I135" s="5">
        <v>-172.88</v>
      </c>
      <c r="J135" s="2">
        <v>15.99</v>
      </c>
      <c r="K135" s="5">
        <v>13.18</v>
      </c>
      <c r="L135" s="4" t="s">
        <v>353</v>
      </c>
      <c r="M135" s="4" t="s">
        <v>17</v>
      </c>
      <c r="N135" s="4" t="s">
        <v>17</v>
      </c>
      <c r="O135" s="4" t="s">
        <v>27</v>
      </c>
      <c r="P135" s="4" t="s">
        <v>19</v>
      </c>
      <c r="Q135" s="4" t="s">
        <v>111</v>
      </c>
      <c r="R135" s="2" t="s">
        <v>354</v>
      </c>
      <c r="S135" s="4" t="s">
        <v>51</v>
      </c>
      <c r="T135" s="2">
        <v>0.37</v>
      </c>
      <c r="U135" s="3">
        <v>40613</v>
      </c>
    </row>
    <row r="136" spans="1:21">
      <c r="A136" s="2">
        <v>231</v>
      </c>
      <c r="B136" s="2">
        <v>1540</v>
      </c>
      <c r="C136" s="6">
        <v>41125</v>
      </c>
      <c r="D136" s="4" t="s">
        <v>31</v>
      </c>
      <c r="E136" s="2">
        <v>30</v>
      </c>
      <c r="F136" s="5">
        <v>80.900000000000006</v>
      </c>
      <c r="G136" s="5">
        <v>0.09</v>
      </c>
      <c r="H136" s="4" t="s">
        <v>15</v>
      </c>
      <c r="I136" s="5">
        <v>5.76</v>
      </c>
      <c r="J136" s="2">
        <v>2.88</v>
      </c>
      <c r="K136" s="5">
        <v>0.7</v>
      </c>
      <c r="L136" s="4" t="s">
        <v>356</v>
      </c>
      <c r="M136" s="4" t="s">
        <v>17</v>
      </c>
      <c r="N136" s="4" t="s">
        <v>17</v>
      </c>
      <c r="O136" s="4" t="s">
        <v>54</v>
      </c>
      <c r="P136" s="4" t="s">
        <v>19</v>
      </c>
      <c r="Q136" s="4" t="s">
        <v>48</v>
      </c>
      <c r="R136" s="2" t="s">
        <v>357</v>
      </c>
      <c r="S136" s="4" t="s">
        <v>50</v>
      </c>
      <c r="T136" s="2">
        <v>0.56000000000000005</v>
      </c>
      <c r="U136" s="3">
        <v>41127</v>
      </c>
    </row>
    <row r="137" spans="1:21">
      <c r="A137" s="2">
        <v>232</v>
      </c>
      <c r="B137" s="2">
        <v>1542</v>
      </c>
      <c r="C137" s="6">
        <v>40435</v>
      </c>
      <c r="D137" s="4" t="s">
        <v>72</v>
      </c>
      <c r="E137" s="2">
        <v>47</v>
      </c>
      <c r="F137" s="5">
        <v>2150.25</v>
      </c>
      <c r="G137" s="5">
        <v>0.06</v>
      </c>
      <c r="H137" s="4" t="s">
        <v>15</v>
      </c>
      <c r="I137" s="5">
        <v>586.92999999999995</v>
      </c>
      <c r="J137" s="2">
        <v>48.58</v>
      </c>
      <c r="K137" s="5">
        <v>3.99</v>
      </c>
      <c r="L137" s="4" t="s">
        <v>358</v>
      </c>
      <c r="M137" s="4" t="s">
        <v>70</v>
      </c>
      <c r="N137" s="4" t="s">
        <v>44</v>
      </c>
      <c r="O137" s="4" t="s">
        <v>60</v>
      </c>
      <c r="P137" s="4" t="s">
        <v>19</v>
      </c>
      <c r="Q137" s="4" t="s">
        <v>117</v>
      </c>
      <c r="R137" s="2" t="s">
        <v>359</v>
      </c>
      <c r="S137" s="4" t="s">
        <v>51</v>
      </c>
      <c r="T137" s="2">
        <v>0.56000000000000005</v>
      </c>
      <c r="U137" s="3">
        <v>40437</v>
      </c>
    </row>
    <row r="138" spans="1:21">
      <c r="A138" s="2">
        <v>234</v>
      </c>
      <c r="B138" s="2">
        <v>1573</v>
      </c>
      <c r="C138" s="6">
        <v>41270</v>
      </c>
      <c r="D138" s="4" t="s">
        <v>31</v>
      </c>
      <c r="E138" s="2">
        <v>13</v>
      </c>
      <c r="F138" s="5">
        <v>759.94</v>
      </c>
      <c r="G138" s="5">
        <v>0.09</v>
      </c>
      <c r="H138" s="4" t="s">
        <v>37</v>
      </c>
      <c r="I138" s="5">
        <v>-226.45</v>
      </c>
      <c r="J138" s="2">
        <v>60.89</v>
      </c>
      <c r="K138" s="5">
        <v>32.409999999999997</v>
      </c>
      <c r="L138" s="4" t="s">
        <v>360</v>
      </c>
      <c r="M138" s="4" t="s">
        <v>57</v>
      </c>
      <c r="N138" s="4" t="s">
        <v>57</v>
      </c>
      <c r="O138" s="4" t="s">
        <v>18</v>
      </c>
      <c r="P138" s="4" t="s">
        <v>33</v>
      </c>
      <c r="Q138" s="4" t="s">
        <v>172</v>
      </c>
      <c r="R138" s="2" t="s">
        <v>361</v>
      </c>
      <c r="S138" s="4" t="s">
        <v>121</v>
      </c>
      <c r="T138" s="2">
        <v>0.56000000000000005</v>
      </c>
      <c r="U138" s="3">
        <v>41272</v>
      </c>
    </row>
    <row r="139" spans="1:21">
      <c r="A139" s="2">
        <v>235</v>
      </c>
      <c r="B139" s="2">
        <v>1575</v>
      </c>
      <c r="C139" s="6">
        <v>40798</v>
      </c>
      <c r="D139" s="4" t="s">
        <v>72</v>
      </c>
      <c r="E139" s="2">
        <v>26</v>
      </c>
      <c r="F139" s="5">
        <v>133.65</v>
      </c>
      <c r="G139" s="5">
        <v>0.05</v>
      </c>
      <c r="H139" s="4" t="s">
        <v>15</v>
      </c>
      <c r="I139" s="5">
        <v>56.28</v>
      </c>
      <c r="J139" s="2">
        <v>4.9800000000000004</v>
      </c>
      <c r="K139" s="5">
        <v>0.8</v>
      </c>
      <c r="L139" s="4" t="s">
        <v>362</v>
      </c>
      <c r="M139" s="4" t="s">
        <v>74</v>
      </c>
      <c r="N139" s="4" t="s">
        <v>74</v>
      </c>
      <c r="O139" s="4" t="s">
        <v>18</v>
      </c>
      <c r="P139" s="4" t="s">
        <v>19</v>
      </c>
      <c r="Q139" s="4" t="s">
        <v>78</v>
      </c>
      <c r="R139" s="2" t="s">
        <v>363</v>
      </c>
      <c r="S139" s="4" t="s">
        <v>50</v>
      </c>
      <c r="T139" s="2">
        <v>0.36</v>
      </c>
      <c r="U139" s="3">
        <v>40800</v>
      </c>
    </row>
    <row r="140" spans="1:21">
      <c r="A140" s="2">
        <v>237</v>
      </c>
      <c r="B140" s="2">
        <v>1600</v>
      </c>
      <c r="C140" s="6">
        <v>40239</v>
      </c>
      <c r="D140" s="4" t="s">
        <v>72</v>
      </c>
      <c r="E140" s="2">
        <v>32</v>
      </c>
      <c r="F140" s="5">
        <v>303.58999999999997</v>
      </c>
      <c r="G140" s="5">
        <v>0.1</v>
      </c>
      <c r="H140" s="4" t="s">
        <v>15</v>
      </c>
      <c r="I140" s="5">
        <v>-45.99</v>
      </c>
      <c r="J140" s="2">
        <v>9.65</v>
      </c>
      <c r="K140" s="5">
        <v>6.22</v>
      </c>
      <c r="L140" s="4" t="s">
        <v>364</v>
      </c>
      <c r="M140" s="4" t="s">
        <v>57</v>
      </c>
      <c r="N140" s="4" t="s">
        <v>57</v>
      </c>
      <c r="O140" s="4" t="s">
        <v>27</v>
      </c>
      <c r="P140" s="4" t="s">
        <v>33</v>
      </c>
      <c r="Q140" s="4" t="s">
        <v>34</v>
      </c>
      <c r="R140" s="2" t="s">
        <v>365</v>
      </c>
      <c r="S140" s="4" t="s">
        <v>51</v>
      </c>
      <c r="T140" s="2">
        <v>0.55000000000000004</v>
      </c>
      <c r="U140" s="3">
        <v>40241</v>
      </c>
    </row>
    <row r="141" spans="1:21">
      <c r="A141" s="2">
        <v>240</v>
      </c>
      <c r="B141" s="2">
        <v>1637</v>
      </c>
      <c r="C141" s="6">
        <v>40581</v>
      </c>
      <c r="D141" s="4" t="s">
        <v>23</v>
      </c>
      <c r="E141" s="2">
        <v>36</v>
      </c>
      <c r="F141" s="5">
        <v>1225.52</v>
      </c>
      <c r="G141" s="5">
        <v>0.1</v>
      </c>
      <c r="H141" s="4" t="s">
        <v>64</v>
      </c>
      <c r="I141" s="5">
        <v>-1191.1300000000001</v>
      </c>
      <c r="J141" s="2">
        <v>35.479999999999997</v>
      </c>
      <c r="K141" s="5">
        <v>35</v>
      </c>
      <c r="L141" s="4" t="s">
        <v>366</v>
      </c>
      <c r="M141" s="4" t="s">
        <v>74</v>
      </c>
      <c r="N141" s="4" t="s">
        <v>74</v>
      </c>
      <c r="O141" s="4" t="s">
        <v>27</v>
      </c>
      <c r="P141" s="4" t="s">
        <v>19</v>
      </c>
      <c r="Q141" s="4" t="s">
        <v>20</v>
      </c>
      <c r="R141" s="2" t="s">
        <v>367</v>
      </c>
      <c r="S141" s="4" t="s">
        <v>22</v>
      </c>
      <c r="T141" s="2">
        <v>0.85</v>
      </c>
      <c r="U141" s="3">
        <v>40581</v>
      </c>
    </row>
    <row r="142" spans="1:21">
      <c r="A142" s="2">
        <v>243</v>
      </c>
      <c r="B142" s="2">
        <v>1639</v>
      </c>
      <c r="C142" s="6">
        <v>40774</v>
      </c>
      <c r="D142" s="4" t="s">
        <v>23</v>
      </c>
      <c r="E142" s="2">
        <v>24</v>
      </c>
      <c r="F142" s="5">
        <v>163.13999999999999</v>
      </c>
      <c r="G142" s="5">
        <v>0.09</v>
      </c>
      <c r="H142" s="4" t="s">
        <v>15</v>
      </c>
      <c r="I142" s="5">
        <v>-62.2</v>
      </c>
      <c r="J142" s="2">
        <v>6.78</v>
      </c>
      <c r="K142" s="5">
        <v>6.18</v>
      </c>
      <c r="L142" s="4" t="s">
        <v>369</v>
      </c>
      <c r="M142" s="4" t="s">
        <v>57</v>
      </c>
      <c r="N142" s="4" t="s">
        <v>57</v>
      </c>
      <c r="O142" s="4" t="s">
        <v>54</v>
      </c>
      <c r="P142" s="4" t="s">
        <v>19</v>
      </c>
      <c r="Q142" s="4" t="s">
        <v>78</v>
      </c>
      <c r="R142" s="2" t="s">
        <v>370</v>
      </c>
      <c r="S142" s="4" t="s">
        <v>51</v>
      </c>
      <c r="T142" s="2">
        <v>0.39</v>
      </c>
      <c r="U142" s="3">
        <v>40775</v>
      </c>
    </row>
    <row r="143" spans="1:21">
      <c r="A143" s="2">
        <v>244</v>
      </c>
      <c r="B143" s="2">
        <v>1665</v>
      </c>
      <c r="C143" s="6">
        <v>39940</v>
      </c>
      <c r="D143" s="4" t="s">
        <v>31</v>
      </c>
      <c r="E143" s="2">
        <v>26</v>
      </c>
      <c r="F143" s="5">
        <v>755.60749999999996</v>
      </c>
      <c r="G143" s="5">
        <v>0.05</v>
      </c>
      <c r="H143" s="4" t="s">
        <v>15</v>
      </c>
      <c r="I143" s="5">
        <v>149.16999999999999</v>
      </c>
      <c r="J143" s="2">
        <v>35.99</v>
      </c>
      <c r="K143" s="5">
        <v>1.1000000000000001</v>
      </c>
      <c r="L143" s="4" t="s">
        <v>371</v>
      </c>
      <c r="M143" s="4" t="s">
        <v>57</v>
      </c>
      <c r="N143" s="4" t="s">
        <v>57</v>
      </c>
      <c r="O143" s="4" t="s">
        <v>27</v>
      </c>
      <c r="P143" s="4" t="s">
        <v>40</v>
      </c>
      <c r="Q143" s="4" t="s">
        <v>41</v>
      </c>
      <c r="R143" s="2" t="s">
        <v>372</v>
      </c>
      <c r="S143" s="4" t="s">
        <v>51</v>
      </c>
      <c r="T143" s="2">
        <v>0.55000000000000004</v>
      </c>
      <c r="U143" s="3">
        <v>39942</v>
      </c>
    </row>
    <row r="144" spans="1:21">
      <c r="A144" s="2">
        <v>245</v>
      </c>
      <c r="B144" s="2">
        <v>1666</v>
      </c>
      <c r="C144" s="6">
        <v>40833</v>
      </c>
      <c r="D144" s="4" t="s">
        <v>52</v>
      </c>
      <c r="E144" s="2">
        <v>19</v>
      </c>
      <c r="F144" s="5">
        <v>5642.18</v>
      </c>
      <c r="G144" s="5">
        <v>0.09</v>
      </c>
      <c r="H144" s="4" t="s">
        <v>64</v>
      </c>
      <c r="I144" s="5">
        <v>1996.68</v>
      </c>
      <c r="J144" s="2">
        <v>315.98</v>
      </c>
      <c r="K144" s="5">
        <v>19.989999999999998</v>
      </c>
      <c r="L144" s="4" t="s">
        <v>373</v>
      </c>
      <c r="M144" s="4" t="s">
        <v>43</v>
      </c>
      <c r="N144" s="4" t="s">
        <v>44</v>
      </c>
      <c r="O144" s="4" t="s">
        <v>27</v>
      </c>
      <c r="P144" s="4" t="s">
        <v>19</v>
      </c>
      <c r="Q144" s="4" t="s">
        <v>111</v>
      </c>
      <c r="R144" s="2" t="s">
        <v>374</v>
      </c>
      <c r="S144" s="4" t="s">
        <v>51</v>
      </c>
      <c r="T144" s="2">
        <v>0.38</v>
      </c>
      <c r="U144" s="3">
        <v>40835</v>
      </c>
    </row>
    <row r="145" spans="1:21">
      <c r="A145" s="2">
        <v>246</v>
      </c>
      <c r="B145" s="2">
        <v>1699</v>
      </c>
      <c r="C145" s="6">
        <v>40541</v>
      </c>
      <c r="D145" s="4" t="s">
        <v>52</v>
      </c>
      <c r="E145" s="2">
        <v>40</v>
      </c>
      <c r="F145" s="5">
        <v>430.88</v>
      </c>
      <c r="G145" s="5">
        <v>0.05</v>
      </c>
      <c r="H145" s="4" t="s">
        <v>15</v>
      </c>
      <c r="I145" s="5">
        <v>39</v>
      </c>
      <c r="J145" s="2">
        <v>11.09</v>
      </c>
      <c r="K145" s="5">
        <v>5.25</v>
      </c>
      <c r="L145" s="4" t="s">
        <v>375</v>
      </c>
      <c r="M145" s="4" t="s">
        <v>85</v>
      </c>
      <c r="N145" s="4" t="s">
        <v>86</v>
      </c>
      <c r="O145" s="4" t="s">
        <v>27</v>
      </c>
      <c r="P145" s="4" t="s">
        <v>19</v>
      </c>
      <c r="Q145" s="4" t="s">
        <v>128</v>
      </c>
      <c r="R145" s="2" t="s">
        <v>376</v>
      </c>
      <c r="S145" s="4" t="s">
        <v>51</v>
      </c>
      <c r="T145" s="2">
        <v>0.36</v>
      </c>
      <c r="U145" s="3">
        <v>40625</v>
      </c>
    </row>
    <row r="146" spans="1:21">
      <c r="A146" s="2">
        <v>247</v>
      </c>
      <c r="B146" s="2">
        <v>1701</v>
      </c>
      <c r="C146" s="6">
        <v>41047</v>
      </c>
      <c r="D146" s="4" t="s">
        <v>31</v>
      </c>
      <c r="E146" s="2">
        <v>49</v>
      </c>
      <c r="F146" s="5">
        <v>2047.58</v>
      </c>
      <c r="G146" s="5">
        <v>0.01</v>
      </c>
      <c r="H146" s="4" t="s">
        <v>15</v>
      </c>
      <c r="I146" s="5">
        <v>902.62</v>
      </c>
      <c r="J146" s="2">
        <v>40.98</v>
      </c>
      <c r="K146" s="5">
        <v>1.99</v>
      </c>
      <c r="L146" s="4" t="s">
        <v>377</v>
      </c>
      <c r="M146" s="4" t="s">
        <v>57</v>
      </c>
      <c r="N146" s="4" t="s">
        <v>57</v>
      </c>
      <c r="O146" s="4" t="s">
        <v>60</v>
      </c>
      <c r="P146" s="4" t="s">
        <v>40</v>
      </c>
      <c r="Q146" s="4" t="s">
        <v>45</v>
      </c>
      <c r="R146" s="2" t="s">
        <v>378</v>
      </c>
      <c r="S146" s="4" t="s">
        <v>30</v>
      </c>
      <c r="T146" s="2">
        <v>0.44</v>
      </c>
      <c r="U146" s="3">
        <v>41049</v>
      </c>
    </row>
    <row r="147" spans="1:21">
      <c r="A147" s="2">
        <v>249</v>
      </c>
      <c r="B147" s="2">
        <v>1702</v>
      </c>
      <c r="C147" s="6">
        <v>40669</v>
      </c>
      <c r="D147" s="4" t="s">
        <v>31</v>
      </c>
      <c r="E147" s="2">
        <v>23</v>
      </c>
      <c r="F147" s="5">
        <v>67.239999999999995</v>
      </c>
      <c r="G147" s="5">
        <v>0.06</v>
      </c>
      <c r="H147" s="4" t="s">
        <v>15</v>
      </c>
      <c r="I147" s="5">
        <v>4.9000000000000004</v>
      </c>
      <c r="J147" s="2">
        <v>2.84</v>
      </c>
      <c r="K147" s="5">
        <v>0.93</v>
      </c>
      <c r="L147" s="4" t="s">
        <v>380</v>
      </c>
      <c r="M147" s="4" t="s">
        <v>17</v>
      </c>
      <c r="N147" s="4" t="s">
        <v>17</v>
      </c>
      <c r="O147" s="4" t="s">
        <v>54</v>
      </c>
      <c r="P147" s="4" t="s">
        <v>19</v>
      </c>
      <c r="Q147" s="4" t="s">
        <v>48</v>
      </c>
      <c r="R147" s="2" t="s">
        <v>381</v>
      </c>
      <c r="S147" s="4" t="s">
        <v>50</v>
      </c>
      <c r="T147" s="2">
        <v>0.54</v>
      </c>
      <c r="U147" s="3">
        <v>40670</v>
      </c>
    </row>
    <row r="148" spans="1:21">
      <c r="A148" s="2">
        <v>255</v>
      </c>
      <c r="B148" s="2">
        <v>1767</v>
      </c>
      <c r="C148" s="6">
        <v>40615</v>
      </c>
      <c r="D148" s="4" t="s">
        <v>31</v>
      </c>
      <c r="E148" s="2">
        <v>10</v>
      </c>
      <c r="F148" s="5">
        <v>46.34</v>
      </c>
      <c r="G148" s="5">
        <v>0.05</v>
      </c>
      <c r="H148" s="4" t="s">
        <v>15</v>
      </c>
      <c r="I148" s="5">
        <v>-7.76</v>
      </c>
      <c r="J148" s="2">
        <v>4.71</v>
      </c>
      <c r="K148" s="5">
        <v>0.7</v>
      </c>
      <c r="L148" s="4" t="s">
        <v>384</v>
      </c>
      <c r="M148" s="4" t="s">
        <v>25</v>
      </c>
      <c r="N148" s="4" t="s">
        <v>26</v>
      </c>
      <c r="O148" s="4" t="s">
        <v>27</v>
      </c>
      <c r="P148" s="4" t="s">
        <v>19</v>
      </c>
      <c r="Q148" s="4" t="s">
        <v>67</v>
      </c>
      <c r="R148" s="2" t="s">
        <v>333</v>
      </c>
      <c r="S148" s="4" t="s">
        <v>50</v>
      </c>
      <c r="T148" s="2">
        <v>0.8</v>
      </c>
      <c r="U148" s="3">
        <v>40617</v>
      </c>
    </row>
    <row r="149" spans="1:21">
      <c r="A149" s="2">
        <v>257</v>
      </c>
      <c r="B149" s="2">
        <v>1793</v>
      </c>
      <c r="C149" s="6">
        <v>41101</v>
      </c>
      <c r="D149" s="4" t="s">
        <v>23</v>
      </c>
      <c r="E149" s="2">
        <v>36</v>
      </c>
      <c r="F149" s="5">
        <v>233.43</v>
      </c>
      <c r="G149" s="5">
        <v>0.03</v>
      </c>
      <c r="H149" s="4" t="s">
        <v>15</v>
      </c>
      <c r="I149" s="5">
        <v>-71.900000000000006</v>
      </c>
      <c r="J149" s="2">
        <v>6.28</v>
      </c>
      <c r="K149" s="5">
        <v>5.36</v>
      </c>
      <c r="L149" s="4" t="s">
        <v>386</v>
      </c>
      <c r="M149" s="4" t="s">
        <v>57</v>
      </c>
      <c r="N149" s="4" t="s">
        <v>57</v>
      </c>
      <c r="O149" s="4" t="s">
        <v>54</v>
      </c>
      <c r="P149" s="4" t="s">
        <v>19</v>
      </c>
      <c r="Q149" s="4" t="s">
        <v>111</v>
      </c>
      <c r="R149" s="2" t="s">
        <v>387</v>
      </c>
      <c r="S149" s="4" t="s">
        <v>51</v>
      </c>
      <c r="T149" s="2">
        <v>0.4</v>
      </c>
      <c r="U149" s="3">
        <v>41101</v>
      </c>
    </row>
    <row r="150" spans="1:21">
      <c r="A150" s="2">
        <v>258</v>
      </c>
      <c r="B150" s="2">
        <v>1796</v>
      </c>
      <c r="C150" s="6">
        <v>41233</v>
      </c>
      <c r="D150" s="4" t="s">
        <v>31</v>
      </c>
      <c r="E150" s="2">
        <v>43</v>
      </c>
      <c r="F150" s="5">
        <v>183.41</v>
      </c>
      <c r="G150" s="5">
        <v>7.0000000000000007E-2</v>
      </c>
      <c r="H150" s="4" t="s">
        <v>15</v>
      </c>
      <c r="I150" s="5">
        <v>-125.41</v>
      </c>
      <c r="J150" s="2">
        <v>4.13</v>
      </c>
      <c r="K150" s="5">
        <v>5.04</v>
      </c>
      <c r="L150" s="4" t="s">
        <v>388</v>
      </c>
      <c r="M150" s="4" t="s">
        <v>258</v>
      </c>
      <c r="N150" s="4" t="s">
        <v>86</v>
      </c>
      <c r="O150" s="4" t="s">
        <v>27</v>
      </c>
      <c r="P150" s="4" t="s">
        <v>19</v>
      </c>
      <c r="Q150" s="4" t="s">
        <v>111</v>
      </c>
      <c r="R150" s="2" t="s">
        <v>389</v>
      </c>
      <c r="S150" s="4" t="s">
        <v>51</v>
      </c>
      <c r="T150" s="2">
        <v>0.38</v>
      </c>
      <c r="U150" s="3">
        <v>41233</v>
      </c>
    </row>
    <row r="151" spans="1:21">
      <c r="A151" s="2">
        <v>259</v>
      </c>
      <c r="B151" s="2">
        <v>1799</v>
      </c>
      <c r="C151" s="6">
        <v>39878</v>
      </c>
      <c r="D151" s="4" t="s">
        <v>23</v>
      </c>
      <c r="E151" s="2">
        <v>10</v>
      </c>
      <c r="F151" s="5">
        <v>1187.1199999999999</v>
      </c>
      <c r="G151" s="5">
        <v>0.06</v>
      </c>
      <c r="H151" s="4" t="s">
        <v>37</v>
      </c>
      <c r="I151" s="5">
        <v>-127.3</v>
      </c>
      <c r="J151" s="2">
        <v>113.98</v>
      </c>
      <c r="K151" s="5">
        <v>30</v>
      </c>
      <c r="L151" s="4" t="s">
        <v>390</v>
      </c>
      <c r="M151" s="4" t="s">
        <v>47</v>
      </c>
      <c r="N151" s="4" t="s">
        <v>26</v>
      </c>
      <c r="O151" s="4" t="s">
        <v>18</v>
      </c>
      <c r="P151" s="4" t="s">
        <v>33</v>
      </c>
      <c r="Q151" s="4" t="s">
        <v>172</v>
      </c>
      <c r="R151" s="2" t="s">
        <v>391</v>
      </c>
      <c r="S151" s="4" t="s">
        <v>121</v>
      </c>
      <c r="T151" s="2">
        <v>0.69</v>
      </c>
      <c r="U151" s="3">
        <v>39880</v>
      </c>
    </row>
    <row r="152" spans="1:21">
      <c r="A152" s="2">
        <v>261</v>
      </c>
      <c r="B152" s="2">
        <v>1824</v>
      </c>
      <c r="C152" s="6">
        <v>39937</v>
      </c>
      <c r="D152" s="4" t="s">
        <v>52</v>
      </c>
      <c r="E152" s="2">
        <v>39</v>
      </c>
      <c r="F152" s="5">
        <v>10656.26</v>
      </c>
      <c r="G152" s="5">
        <v>0.06</v>
      </c>
      <c r="H152" s="4" t="s">
        <v>15</v>
      </c>
      <c r="I152" s="5">
        <v>3116.54</v>
      </c>
      <c r="J152" s="2">
        <v>276.2</v>
      </c>
      <c r="K152" s="5">
        <v>24.49</v>
      </c>
      <c r="L152" s="4" t="s">
        <v>392</v>
      </c>
      <c r="M152" s="4" t="s">
        <v>25</v>
      </c>
      <c r="N152" s="4" t="s">
        <v>26</v>
      </c>
      <c r="O152" s="4" t="s">
        <v>27</v>
      </c>
      <c r="P152" s="4" t="s">
        <v>33</v>
      </c>
      <c r="Q152" s="4" t="s">
        <v>172</v>
      </c>
      <c r="R152" s="2" t="s">
        <v>393</v>
      </c>
      <c r="S152" s="4" t="s">
        <v>22</v>
      </c>
      <c r="T152" s="2"/>
      <c r="U152" s="3">
        <v>39938</v>
      </c>
    </row>
    <row r="153" spans="1:21">
      <c r="A153" s="2">
        <v>264</v>
      </c>
      <c r="B153" s="2">
        <v>1826</v>
      </c>
      <c r="C153" s="6">
        <v>41014</v>
      </c>
      <c r="D153" s="4" t="s">
        <v>23</v>
      </c>
      <c r="E153" s="2">
        <v>5</v>
      </c>
      <c r="F153" s="5">
        <v>28.32</v>
      </c>
      <c r="G153" s="5">
        <v>0.09</v>
      </c>
      <c r="H153" s="4" t="s">
        <v>15</v>
      </c>
      <c r="I153" s="5">
        <v>-14.35</v>
      </c>
      <c r="J153" s="2">
        <v>4.9800000000000004</v>
      </c>
      <c r="K153" s="5">
        <v>4.75</v>
      </c>
      <c r="L153" s="4" t="s">
        <v>394</v>
      </c>
      <c r="M153" s="4" t="s">
        <v>57</v>
      </c>
      <c r="N153" s="4" t="s">
        <v>57</v>
      </c>
      <c r="O153" s="4" t="s">
        <v>27</v>
      </c>
      <c r="P153" s="4" t="s">
        <v>19</v>
      </c>
      <c r="Q153" s="4" t="s">
        <v>78</v>
      </c>
      <c r="R153" s="2" t="s">
        <v>395</v>
      </c>
      <c r="S153" s="4" t="s">
        <v>51</v>
      </c>
      <c r="T153" s="2">
        <v>0.36</v>
      </c>
      <c r="U153" s="3">
        <v>41015</v>
      </c>
    </row>
    <row r="154" spans="1:21">
      <c r="A154" s="2">
        <v>265</v>
      </c>
      <c r="B154" s="2">
        <v>1829</v>
      </c>
      <c r="C154" s="6">
        <v>39940</v>
      </c>
      <c r="D154" s="4" t="s">
        <v>31</v>
      </c>
      <c r="E154" s="2">
        <v>48</v>
      </c>
      <c r="F154" s="5">
        <v>133.04</v>
      </c>
      <c r="G154" s="5">
        <v>7.0000000000000007E-2</v>
      </c>
      <c r="H154" s="4" t="s">
        <v>15</v>
      </c>
      <c r="I154" s="5">
        <v>6.73</v>
      </c>
      <c r="J154" s="2">
        <v>2.78</v>
      </c>
      <c r="K154" s="5">
        <v>1.49</v>
      </c>
      <c r="L154" s="4" t="s">
        <v>396</v>
      </c>
      <c r="M154" s="4" t="s">
        <v>43</v>
      </c>
      <c r="N154" s="4" t="s">
        <v>44</v>
      </c>
      <c r="O154" s="4" t="s">
        <v>18</v>
      </c>
      <c r="P154" s="4" t="s">
        <v>19</v>
      </c>
      <c r="Q154" s="4" t="s">
        <v>111</v>
      </c>
      <c r="R154" s="2" t="s">
        <v>397</v>
      </c>
      <c r="S154" s="4" t="s">
        <v>51</v>
      </c>
      <c r="T154" s="2">
        <v>0.36</v>
      </c>
      <c r="U154" s="3">
        <v>39941</v>
      </c>
    </row>
    <row r="155" spans="1:21">
      <c r="A155" s="2">
        <v>267</v>
      </c>
      <c r="B155" s="2">
        <v>1856</v>
      </c>
      <c r="C155" s="6">
        <v>40987</v>
      </c>
      <c r="D155" s="4" t="s">
        <v>23</v>
      </c>
      <c r="E155" s="2">
        <v>24</v>
      </c>
      <c r="F155" s="5">
        <v>1449.3</v>
      </c>
      <c r="G155" s="5">
        <v>0.08</v>
      </c>
      <c r="H155" s="4" t="s">
        <v>15</v>
      </c>
      <c r="I155" s="5">
        <v>-712.14</v>
      </c>
      <c r="J155" s="2">
        <v>60.98</v>
      </c>
      <c r="K155" s="5">
        <v>49</v>
      </c>
      <c r="L155" s="4" t="s">
        <v>398</v>
      </c>
      <c r="M155" s="4" t="s">
        <v>47</v>
      </c>
      <c r="N155" s="4" t="s">
        <v>26</v>
      </c>
      <c r="O155" s="4" t="s">
        <v>54</v>
      </c>
      <c r="P155" s="4" t="s">
        <v>19</v>
      </c>
      <c r="Q155" s="4" t="s">
        <v>117</v>
      </c>
      <c r="R155" s="2" t="s">
        <v>399</v>
      </c>
      <c r="S155" s="4" t="s">
        <v>22</v>
      </c>
      <c r="T155" s="2">
        <v>0.59</v>
      </c>
      <c r="U155" s="3">
        <v>40989</v>
      </c>
    </row>
    <row r="156" spans="1:21">
      <c r="A156" s="2">
        <v>270</v>
      </c>
      <c r="B156" s="2">
        <v>1857</v>
      </c>
      <c r="C156" s="6">
        <v>40190</v>
      </c>
      <c r="D156" s="4" t="s">
        <v>31</v>
      </c>
      <c r="E156" s="2">
        <v>37</v>
      </c>
      <c r="F156" s="5">
        <v>199.76</v>
      </c>
      <c r="G156" s="5">
        <v>7.0000000000000007E-2</v>
      </c>
      <c r="H156" s="4" t="s">
        <v>15</v>
      </c>
      <c r="I156" s="5">
        <v>20</v>
      </c>
      <c r="J156" s="2">
        <v>5.58</v>
      </c>
      <c r="K156" s="5">
        <v>1.99</v>
      </c>
      <c r="L156" s="4" t="s">
        <v>401</v>
      </c>
      <c r="M156" s="4" t="s">
        <v>25</v>
      </c>
      <c r="N156" s="4" t="s">
        <v>26</v>
      </c>
      <c r="O156" s="4" t="s">
        <v>60</v>
      </c>
      <c r="P156" s="4" t="s">
        <v>19</v>
      </c>
      <c r="Q156" s="4" t="s">
        <v>48</v>
      </c>
      <c r="R156" s="2" t="s">
        <v>402</v>
      </c>
      <c r="S156" s="4" t="s">
        <v>50</v>
      </c>
      <c r="T156" s="2">
        <v>0.46</v>
      </c>
      <c r="U156" s="3">
        <v>40191</v>
      </c>
    </row>
    <row r="157" spans="1:21">
      <c r="A157" s="2">
        <v>271</v>
      </c>
      <c r="B157" s="2">
        <v>1863</v>
      </c>
      <c r="C157" s="6">
        <v>40443</v>
      </c>
      <c r="D157" s="4" t="s">
        <v>23</v>
      </c>
      <c r="E157" s="2">
        <v>26</v>
      </c>
      <c r="F157" s="5">
        <v>2415.38</v>
      </c>
      <c r="G157" s="5">
        <v>0.08</v>
      </c>
      <c r="H157" s="4" t="s">
        <v>37</v>
      </c>
      <c r="I157" s="5">
        <v>-1131.5999999999999</v>
      </c>
      <c r="J157" s="2">
        <v>95.95</v>
      </c>
      <c r="K157" s="5">
        <v>74.349999999999994</v>
      </c>
      <c r="L157" s="4" t="s">
        <v>403</v>
      </c>
      <c r="M157" s="4" t="s">
        <v>25</v>
      </c>
      <c r="N157" s="4" t="s">
        <v>26</v>
      </c>
      <c r="O157" s="4" t="s">
        <v>18</v>
      </c>
      <c r="P157" s="4" t="s">
        <v>33</v>
      </c>
      <c r="Q157" s="4" t="s">
        <v>172</v>
      </c>
      <c r="R157" s="2" t="s">
        <v>404</v>
      </c>
      <c r="S157" s="4" t="s">
        <v>121</v>
      </c>
      <c r="T157" s="2">
        <v>0.56999999999999995</v>
      </c>
      <c r="U157" s="3">
        <v>40444</v>
      </c>
    </row>
    <row r="158" spans="1:21">
      <c r="A158" s="2">
        <v>272</v>
      </c>
      <c r="B158" s="2">
        <v>1888</v>
      </c>
      <c r="C158" s="6">
        <v>40481</v>
      </c>
      <c r="D158" s="4" t="s">
        <v>23</v>
      </c>
      <c r="E158" s="2">
        <v>38</v>
      </c>
      <c r="F158" s="5">
        <v>1264.46</v>
      </c>
      <c r="G158" s="5">
        <v>0</v>
      </c>
      <c r="H158" s="4" t="s">
        <v>37</v>
      </c>
      <c r="I158" s="5">
        <v>-1249.3900000000001</v>
      </c>
      <c r="J158" s="2">
        <v>31.76</v>
      </c>
      <c r="K158" s="5">
        <v>45.51</v>
      </c>
      <c r="L158" s="4" t="s">
        <v>405</v>
      </c>
      <c r="M158" s="4" t="s">
        <v>74</v>
      </c>
      <c r="N158" s="4" t="s">
        <v>74</v>
      </c>
      <c r="O158" s="4" t="s">
        <v>27</v>
      </c>
      <c r="P158" s="4" t="s">
        <v>33</v>
      </c>
      <c r="Q158" s="4" t="s">
        <v>38</v>
      </c>
      <c r="R158" s="2" t="s">
        <v>406</v>
      </c>
      <c r="S158" s="4" t="s">
        <v>39</v>
      </c>
      <c r="T158" s="2">
        <v>0.65</v>
      </c>
      <c r="U158" s="3">
        <v>40481</v>
      </c>
    </row>
    <row r="159" spans="1:21">
      <c r="A159" s="2">
        <v>275</v>
      </c>
      <c r="B159" s="2">
        <v>1892</v>
      </c>
      <c r="C159" s="6">
        <v>39897</v>
      </c>
      <c r="D159" s="4" t="s">
        <v>14</v>
      </c>
      <c r="E159" s="2">
        <v>47</v>
      </c>
      <c r="F159" s="5">
        <v>193.63</v>
      </c>
      <c r="G159" s="5">
        <v>0.05</v>
      </c>
      <c r="H159" s="4" t="s">
        <v>15</v>
      </c>
      <c r="I159" s="5">
        <v>-152.52000000000001</v>
      </c>
      <c r="J159" s="2">
        <v>3.98</v>
      </c>
      <c r="K159" s="5">
        <v>5.26</v>
      </c>
      <c r="L159" s="4" t="s">
        <v>407</v>
      </c>
      <c r="M159" s="4" t="s">
        <v>57</v>
      </c>
      <c r="N159" s="4" t="s">
        <v>57</v>
      </c>
      <c r="O159" s="4" t="s">
        <v>18</v>
      </c>
      <c r="P159" s="4" t="s">
        <v>19</v>
      </c>
      <c r="Q159" s="4" t="s">
        <v>111</v>
      </c>
      <c r="R159" s="2" t="s">
        <v>326</v>
      </c>
      <c r="S159" s="4" t="s">
        <v>51</v>
      </c>
      <c r="T159" s="2">
        <v>0.38</v>
      </c>
      <c r="U159" s="3">
        <v>39901</v>
      </c>
    </row>
    <row r="160" spans="1:21">
      <c r="A160" s="2">
        <v>278</v>
      </c>
      <c r="B160" s="2">
        <v>1921</v>
      </c>
      <c r="C160" s="6">
        <v>39830</v>
      </c>
      <c r="D160" s="4" t="s">
        <v>72</v>
      </c>
      <c r="E160" s="2">
        <v>24</v>
      </c>
      <c r="F160" s="5">
        <v>7871.91</v>
      </c>
      <c r="G160" s="5">
        <v>0.05</v>
      </c>
      <c r="H160" s="4" t="s">
        <v>37</v>
      </c>
      <c r="I160" s="5">
        <v>541.47</v>
      </c>
      <c r="J160" s="2">
        <v>328.14</v>
      </c>
      <c r="K160" s="5">
        <v>91.05</v>
      </c>
      <c r="L160" s="4" t="s">
        <v>408</v>
      </c>
      <c r="M160" s="4" t="s">
        <v>57</v>
      </c>
      <c r="N160" s="4" t="s">
        <v>57</v>
      </c>
      <c r="O160" s="4" t="s">
        <v>18</v>
      </c>
      <c r="P160" s="4" t="s">
        <v>19</v>
      </c>
      <c r="Q160" s="4" t="s">
        <v>117</v>
      </c>
      <c r="R160" s="2" t="s">
        <v>409</v>
      </c>
      <c r="S160" s="4" t="s">
        <v>121</v>
      </c>
      <c r="T160" s="2">
        <v>0.56999999999999995</v>
      </c>
      <c r="U160" s="3">
        <v>39832</v>
      </c>
    </row>
    <row r="161" spans="1:21">
      <c r="A161" s="2">
        <v>279</v>
      </c>
      <c r="B161" s="2">
        <v>1925</v>
      </c>
      <c r="C161" s="6">
        <v>40972</v>
      </c>
      <c r="D161" s="4" t="s">
        <v>52</v>
      </c>
      <c r="E161" s="2">
        <v>40</v>
      </c>
      <c r="F161" s="5">
        <v>909.82</v>
      </c>
      <c r="G161" s="5">
        <v>0.02</v>
      </c>
      <c r="H161" s="4" t="s">
        <v>15</v>
      </c>
      <c r="I161" s="5">
        <v>292.49</v>
      </c>
      <c r="J161" s="2">
        <v>22.98</v>
      </c>
      <c r="K161" s="5">
        <v>1.99</v>
      </c>
      <c r="L161" s="4" t="s">
        <v>410</v>
      </c>
      <c r="M161" s="4" t="s">
        <v>43</v>
      </c>
      <c r="N161" s="4" t="s">
        <v>44</v>
      </c>
      <c r="O161" s="4" t="s">
        <v>27</v>
      </c>
      <c r="P161" s="4" t="s">
        <v>40</v>
      </c>
      <c r="Q161" s="4" t="s">
        <v>45</v>
      </c>
      <c r="R161" s="2" t="s">
        <v>411</v>
      </c>
      <c r="S161" s="4" t="s">
        <v>30</v>
      </c>
      <c r="T161" s="2">
        <v>0.46</v>
      </c>
      <c r="U161" s="3">
        <v>40974</v>
      </c>
    </row>
    <row r="162" spans="1:21">
      <c r="A162" s="2">
        <v>281</v>
      </c>
      <c r="B162" s="2">
        <v>1952</v>
      </c>
      <c r="C162" s="6">
        <v>39887</v>
      </c>
      <c r="D162" s="4" t="s">
        <v>31</v>
      </c>
      <c r="E162" s="2">
        <v>24</v>
      </c>
      <c r="F162" s="5">
        <v>7287.55</v>
      </c>
      <c r="G162" s="5">
        <v>0.04</v>
      </c>
      <c r="H162" s="4" t="s">
        <v>37</v>
      </c>
      <c r="I162" s="5">
        <v>-715.78</v>
      </c>
      <c r="J162" s="2">
        <v>296.18</v>
      </c>
      <c r="K162" s="5">
        <v>54.12</v>
      </c>
      <c r="L162" s="4" t="s">
        <v>412</v>
      </c>
      <c r="M162" s="4" t="s">
        <v>57</v>
      </c>
      <c r="N162" s="4" t="s">
        <v>57</v>
      </c>
      <c r="O162" s="4" t="s">
        <v>27</v>
      </c>
      <c r="P162" s="4" t="s">
        <v>33</v>
      </c>
      <c r="Q162" s="4" t="s">
        <v>38</v>
      </c>
      <c r="R162" s="2" t="s">
        <v>248</v>
      </c>
      <c r="S162" s="4" t="s">
        <v>39</v>
      </c>
      <c r="T162" s="2">
        <v>0.76</v>
      </c>
      <c r="U162" s="3">
        <v>39887</v>
      </c>
    </row>
    <row r="163" spans="1:21">
      <c r="A163" s="2">
        <v>282</v>
      </c>
      <c r="B163" s="2">
        <v>1953</v>
      </c>
      <c r="C163" s="6">
        <v>40511</v>
      </c>
      <c r="D163" s="4" t="s">
        <v>72</v>
      </c>
      <c r="E163" s="2">
        <v>13</v>
      </c>
      <c r="F163" s="5">
        <v>137.63999999999999</v>
      </c>
      <c r="G163" s="5">
        <v>0.06</v>
      </c>
      <c r="H163" s="4" t="s">
        <v>15</v>
      </c>
      <c r="I163" s="5">
        <v>19.59</v>
      </c>
      <c r="J163" s="2">
        <v>10.91</v>
      </c>
      <c r="K163" s="5">
        <v>2.99</v>
      </c>
      <c r="L163" s="4" t="s">
        <v>413</v>
      </c>
      <c r="M163" s="4" t="s">
        <v>57</v>
      </c>
      <c r="N163" s="4" t="s">
        <v>57</v>
      </c>
      <c r="O163" s="4" t="s">
        <v>18</v>
      </c>
      <c r="P163" s="4" t="s">
        <v>19</v>
      </c>
      <c r="Q163" s="4" t="s">
        <v>111</v>
      </c>
      <c r="R163" s="2" t="s">
        <v>414</v>
      </c>
      <c r="S163" s="4" t="s">
        <v>51</v>
      </c>
      <c r="T163" s="2">
        <v>0.38</v>
      </c>
      <c r="U163" s="3">
        <v>40511</v>
      </c>
    </row>
    <row r="164" spans="1:21">
      <c r="A164" s="2">
        <v>283</v>
      </c>
      <c r="B164" s="2">
        <v>1985</v>
      </c>
      <c r="C164" s="6">
        <v>40057</v>
      </c>
      <c r="D164" s="4" t="s">
        <v>23</v>
      </c>
      <c r="E164" s="2">
        <v>33</v>
      </c>
      <c r="F164" s="5">
        <v>15464.01</v>
      </c>
      <c r="G164" s="5">
        <v>0.05</v>
      </c>
      <c r="H164" s="4" t="s">
        <v>37</v>
      </c>
      <c r="I164" s="5">
        <v>4407.4399999999996</v>
      </c>
      <c r="J164" s="2">
        <v>535.64</v>
      </c>
      <c r="K164" s="5">
        <v>14.7</v>
      </c>
      <c r="L164" s="4" t="s">
        <v>415</v>
      </c>
      <c r="M164" s="4" t="s">
        <v>57</v>
      </c>
      <c r="N164" s="4" t="s">
        <v>57</v>
      </c>
      <c r="O164" s="4" t="s">
        <v>54</v>
      </c>
      <c r="P164" s="4" t="s">
        <v>40</v>
      </c>
      <c r="Q164" s="4" t="s">
        <v>81</v>
      </c>
      <c r="R164" s="2" t="s">
        <v>416</v>
      </c>
      <c r="S164" s="4" t="s">
        <v>121</v>
      </c>
      <c r="T164" s="2">
        <v>0.59</v>
      </c>
      <c r="U164" s="3">
        <v>40059</v>
      </c>
    </row>
    <row r="165" spans="1:21">
      <c r="A165" s="2">
        <v>285</v>
      </c>
      <c r="B165" s="2">
        <v>1988</v>
      </c>
      <c r="C165" s="6">
        <v>40821</v>
      </c>
      <c r="D165" s="4" t="s">
        <v>23</v>
      </c>
      <c r="E165" s="2">
        <v>9</v>
      </c>
      <c r="F165" s="5">
        <v>122.14</v>
      </c>
      <c r="G165" s="5">
        <v>0.04</v>
      </c>
      <c r="H165" s="4" t="s">
        <v>15</v>
      </c>
      <c r="I165" s="5">
        <v>-16.989999999999998</v>
      </c>
      <c r="J165" s="2">
        <v>13.48</v>
      </c>
      <c r="K165" s="5">
        <v>4.51</v>
      </c>
      <c r="L165" s="4" t="s">
        <v>418</v>
      </c>
      <c r="M165" s="4" t="s">
        <v>66</v>
      </c>
      <c r="N165" s="4" t="s">
        <v>66</v>
      </c>
      <c r="O165" s="4" t="s">
        <v>27</v>
      </c>
      <c r="P165" s="4" t="s">
        <v>19</v>
      </c>
      <c r="Q165" s="4" t="s">
        <v>20</v>
      </c>
      <c r="R165" s="2" t="s">
        <v>385</v>
      </c>
      <c r="S165" s="4" t="s">
        <v>51</v>
      </c>
      <c r="T165" s="2">
        <v>0.59</v>
      </c>
      <c r="U165" s="3">
        <v>40823</v>
      </c>
    </row>
    <row r="166" spans="1:21">
      <c r="A166" s="2">
        <v>286</v>
      </c>
      <c r="B166" s="2">
        <v>1991</v>
      </c>
      <c r="C166" s="6">
        <v>41158</v>
      </c>
      <c r="D166" s="4" t="s">
        <v>23</v>
      </c>
      <c r="E166" s="2">
        <v>27</v>
      </c>
      <c r="F166" s="5">
        <v>3491.06</v>
      </c>
      <c r="G166" s="5">
        <v>0.09</v>
      </c>
      <c r="H166" s="4" t="s">
        <v>15</v>
      </c>
      <c r="I166" s="5">
        <v>921.7</v>
      </c>
      <c r="J166" s="2">
        <v>136.97999999999999</v>
      </c>
      <c r="K166" s="5">
        <v>24.49</v>
      </c>
      <c r="L166" s="4" t="s">
        <v>419</v>
      </c>
      <c r="M166" s="4" t="s">
        <v>57</v>
      </c>
      <c r="N166" s="4" t="s">
        <v>57</v>
      </c>
      <c r="O166" s="4" t="s">
        <v>27</v>
      </c>
      <c r="P166" s="4" t="s">
        <v>33</v>
      </c>
      <c r="Q166" s="4" t="s">
        <v>34</v>
      </c>
      <c r="R166" s="2" t="s">
        <v>420</v>
      </c>
      <c r="S166" s="4" t="s">
        <v>22</v>
      </c>
      <c r="T166" s="2">
        <v>0.59</v>
      </c>
      <c r="U166" s="3">
        <v>41158</v>
      </c>
    </row>
    <row r="167" spans="1:21">
      <c r="A167" s="2">
        <v>288</v>
      </c>
      <c r="B167" s="2">
        <v>2020</v>
      </c>
      <c r="C167" s="6">
        <v>40349</v>
      </c>
      <c r="D167" s="4" t="s">
        <v>72</v>
      </c>
      <c r="E167" s="2">
        <v>42</v>
      </c>
      <c r="F167" s="5">
        <v>213.75</v>
      </c>
      <c r="G167" s="5">
        <v>0.03</v>
      </c>
      <c r="H167" s="4" t="s">
        <v>15</v>
      </c>
      <c r="I167" s="5">
        <v>-188.77</v>
      </c>
      <c r="J167" s="2">
        <v>5.0199999999999996</v>
      </c>
      <c r="K167" s="5">
        <v>5.14</v>
      </c>
      <c r="L167" s="4" t="s">
        <v>421</v>
      </c>
      <c r="M167" s="4" t="s">
        <v>57</v>
      </c>
      <c r="N167" s="4" t="s">
        <v>57</v>
      </c>
      <c r="O167" s="4" t="s">
        <v>54</v>
      </c>
      <c r="P167" s="4" t="s">
        <v>40</v>
      </c>
      <c r="Q167" s="4" t="s">
        <v>45</v>
      </c>
      <c r="R167" s="2" t="s">
        <v>422</v>
      </c>
      <c r="S167" s="4" t="s">
        <v>30</v>
      </c>
      <c r="T167" s="2">
        <v>0.79</v>
      </c>
      <c r="U167" s="3">
        <v>40351</v>
      </c>
    </row>
    <row r="168" spans="1:21">
      <c r="A168" s="2">
        <v>289</v>
      </c>
      <c r="B168" s="2">
        <v>2022</v>
      </c>
      <c r="C168" s="6">
        <v>40982</v>
      </c>
      <c r="D168" s="4" t="s">
        <v>52</v>
      </c>
      <c r="E168" s="2">
        <v>45</v>
      </c>
      <c r="F168" s="5">
        <v>186.44</v>
      </c>
      <c r="G168" s="5">
        <v>0</v>
      </c>
      <c r="H168" s="4" t="s">
        <v>15</v>
      </c>
      <c r="I168" s="5">
        <v>-157.18</v>
      </c>
      <c r="J168" s="2">
        <v>3.95</v>
      </c>
      <c r="K168" s="5">
        <v>5.13</v>
      </c>
      <c r="L168" s="4" t="s">
        <v>423</v>
      </c>
      <c r="M168" s="4" t="s">
        <v>57</v>
      </c>
      <c r="N168" s="4" t="s">
        <v>57</v>
      </c>
      <c r="O168" s="4" t="s">
        <v>27</v>
      </c>
      <c r="P168" s="4" t="s">
        <v>19</v>
      </c>
      <c r="Q168" s="4" t="s">
        <v>117</v>
      </c>
      <c r="R168" s="2" t="s">
        <v>424</v>
      </c>
      <c r="S168" s="4" t="s">
        <v>51</v>
      </c>
      <c r="T168" s="2">
        <v>0.59</v>
      </c>
      <c r="U168" s="3">
        <v>40983</v>
      </c>
    </row>
    <row r="169" spans="1:21">
      <c r="A169" s="2">
        <v>294</v>
      </c>
      <c r="B169" s="2">
        <v>2050</v>
      </c>
      <c r="C169" s="6">
        <v>39965</v>
      </c>
      <c r="D169" s="4" t="s">
        <v>23</v>
      </c>
      <c r="E169" s="2">
        <v>16</v>
      </c>
      <c r="F169" s="5">
        <v>44.46</v>
      </c>
      <c r="G169" s="5">
        <v>0.06</v>
      </c>
      <c r="H169" s="4" t="s">
        <v>15</v>
      </c>
      <c r="I169" s="5">
        <v>5.27</v>
      </c>
      <c r="J169" s="2">
        <v>2.89</v>
      </c>
      <c r="K169" s="5">
        <v>0.99</v>
      </c>
      <c r="L169" s="4" t="s">
        <v>427</v>
      </c>
      <c r="M169" s="4" t="s">
        <v>258</v>
      </c>
      <c r="N169" s="4" t="s">
        <v>86</v>
      </c>
      <c r="O169" s="4" t="s">
        <v>60</v>
      </c>
      <c r="P169" s="4" t="s">
        <v>19</v>
      </c>
      <c r="Q169" s="4" t="s">
        <v>75</v>
      </c>
      <c r="R169" s="2" t="s">
        <v>428</v>
      </c>
      <c r="S169" s="4" t="s">
        <v>51</v>
      </c>
      <c r="T169" s="2">
        <v>0.38</v>
      </c>
      <c r="U169" s="3">
        <v>39967</v>
      </c>
    </row>
    <row r="170" spans="1:21">
      <c r="A170" s="2">
        <v>296</v>
      </c>
      <c r="B170" s="2">
        <v>2052</v>
      </c>
      <c r="C170" s="6">
        <v>41011</v>
      </c>
      <c r="D170" s="4" t="s">
        <v>31</v>
      </c>
      <c r="E170" s="2">
        <v>23</v>
      </c>
      <c r="F170" s="5">
        <v>107.93</v>
      </c>
      <c r="G170" s="5">
        <v>0</v>
      </c>
      <c r="H170" s="4" t="s">
        <v>15</v>
      </c>
      <c r="I170" s="5">
        <v>-68.14</v>
      </c>
      <c r="J170" s="2">
        <v>4.13</v>
      </c>
      <c r="K170" s="5">
        <v>5.34</v>
      </c>
      <c r="L170" s="4" t="s">
        <v>429</v>
      </c>
      <c r="M170" s="4" t="s">
        <v>74</v>
      </c>
      <c r="N170" s="4" t="s">
        <v>74</v>
      </c>
      <c r="O170" s="4" t="s">
        <v>18</v>
      </c>
      <c r="P170" s="4" t="s">
        <v>19</v>
      </c>
      <c r="Q170" s="4" t="s">
        <v>111</v>
      </c>
      <c r="R170" s="2" t="s">
        <v>430</v>
      </c>
      <c r="S170" s="4" t="s">
        <v>51</v>
      </c>
      <c r="T170" s="2">
        <v>0.38</v>
      </c>
      <c r="U170" s="3">
        <v>41013</v>
      </c>
    </row>
    <row r="171" spans="1:21">
      <c r="A171" s="2">
        <v>297</v>
      </c>
      <c r="B171" s="2">
        <v>2053</v>
      </c>
      <c r="C171" s="6">
        <v>40580</v>
      </c>
      <c r="D171" s="4" t="s">
        <v>52</v>
      </c>
      <c r="E171" s="2">
        <v>39</v>
      </c>
      <c r="F171" s="5">
        <v>19342.84</v>
      </c>
      <c r="G171" s="5">
        <v>0.01</v>
      </c>
      <c r="H171" s="4" t="s">
        <v>37</v>
      </c>
      <c r="I171" s="5">
        <v>5603.95</v>
      </c>
      <c r="J171" s="2">
        <v>500.98</v>
      </c>
      <c r="K171" s="5">
        <v>126</v>
      </c>
      <c r="L171" s="4" t="s">
        <v>431</v>
      </c>
      <c r="M171" s="4" t="s">
        <v>57</v>
      </c>
      <c r="N171" s="4" t="s">
        <v>57</v>
      </c>
      <c r="O171" s="4" t="s">
        <v>60</v>
      </c>
      <c r="P171" s="4" t="s">
        <v>33</v>
      </c>
      <c r="Q171" s="4" t="s">
        <v>172</v>
      </c>
      <c r="R171" s="2" t="s">
        <v>432</v>
      </c>
      <c r="S171" s="4" t="s">
        <v>121</v>
      </c>
      <c r="T171" s="2">
        <v>0.6</v>
      </c>
      <c r="U171" s="3">
        <v>40581</v>
      </c>
    </row>
    <row r="172" spans="1:21">
      <c r="A172" s="2">
        <v>301</v>
      </c>
      <c r="B172" s="2">
        <v>2055</v>
      </c>
      <c r="C172" s="6">
        <v>40424</v>
      </c>
      <c r="D172" s="4" t="s">
        <v>52</v>
      </c>
      <c r="E172" s="2">
        <v>7</v>
      </c>
      <c r="F172" s="5">
        <v>66.41</v>
      </c>
      <c r="G172" s="5">
        <v>0.05</v>
      </c>
      <c r="H172" s="4" t="s">
        <v>15</v>
      </c>
      <c r="I172" s="5">
        <v>-32.35</v>
      </c>
      <c r="J172" s="2">
        <v>8.74</v>
      </c>
      <c r="K172" s="5">
        <v>8.2899999999999991</v>
      </c>
      <c r="L172" s="4" t="s">
        <v>434</v>
      </c>
      <c r="M172" s="4" t="s">
        <v>74</v>
      </c>
      <c r="N172" s="4" t="s">
        <v>74</v>
      </c>
      <c r="O172" s="4" t="s">
        <v>18</v>
      </c>
      <c r="P172" s="4" t="s">
        <v>19</v>
      </c>
      <c r="Q172" s="4" t="s">
        <v>128</v>
      </c>
      <c r="R172" s="2" t="s">
        <v>435</v>
      </c>
      <c r="S172" s="4" t="s">
        <v>51</v>
      </c>
      <c r="T172" s="2">
        <v>0.38</v>
      </c>
      <c r="U172" s="3">
        <v>40426</v>
      </c>
    </row>
    <row r="173" spans="1:21">
      <c r="A173" s="2">
        <v>302</v>
      </c>
      <c r="B173" s="2">
        <v>2084</v>
      </c>
      <c r="C173" s="6">
        <v>40253</v>
      </c>
      <c r="D173" s="4" t="s">
        <v>31</v>
      </c>
      <c r="E173" s="2">
        <v>16</v>
      </c>
      <c r="F173" s="5">
        <v>692.73</v>
      </c>
      <c r="G173" s="5">
        <v>0.01</v>
      </c>
      <c r="H173" s="4" t="s">
        <v>15</v>
      </c>
      <c r="I173" s="5">
        <v>94.97</v>
      </c>
      <c r="J173" s="2">
        <v>40.99</v>
      </c>
      <c r="K173" s="5">
        <v>17.48</v>
      </c>
      <c r="L173" s="4" t="s">
        <v>436</v>
      </c>
      <c r="M173" s="4" t="s">
        <v>85</v>
      </c>
      <c r="N173" s="4" t="s">
        <v>86</v>
      </c>
      <c r="O173" s="4" t="s">
        <v>27</v>
      </c>
      <c r="P173" s="4" t="s">
        <v>19</v>
      </c>
      <c r="Q173" s="4" t="s">
        <v>78</v>
      </c>
      <c r="R173" s="2" t="s">
        <v>437</v>
      </c>
      <c r="S173" s="4" t="s">
        <v>51</v>
      </c>
      <c r="T173" s="2">
        <v>0.36</v>
      </c>
      <c r="U173" s="3">
        <v>40255</v>
      </c>
    </row>
    <row r="174" spans="1:21">
      <c r="A174" s="2">
        <v>310</v>
      </c>
      <c r="B174" s="2">
        <v>2149</v>
      </c>
      <c r="C174" s="6">
        <v>40249</v>
      </c>
      <c r="D174" s="4" t="s">
        <v>14</v>
      </c>
      <c r="E174" s="2">
        <v>4</v>
      </c>
      <c r="F174" s="5">
        <v>43.56</v>
      </c>
      <c r="G174" s="5">
        <v>0.01</v>
      </c>
      <c r="H174" s="4" t="s">
        <v>15</v>
      </c>
      <c r="I174" s="5">
        <v>21.21</v>
      </c>
      <c r="J174" s="2">
        <v>9.3800000000000008</v>
      </c>
      <c r="K174" s="5">
        <v>4.93</v>
      </c>
      <c r="L174" s="4" t="s">
        <v>440</v>
      </c>
      <c r="M174" s="4" t="s">
        <v>258</v>
      </c>
      <c r="N174" s="4" t="s">
        <v>86</v>
      </c>
      <c r="O174" s="4" t="s">
        <v>60</v>
      </c>
      <c r="P174" s="4" t="s">
        <v>33</v>
      </c>
      <c r="Q174" s="4" t="s">
        <v>34</v>
      </c>
      <c r="R174" s="2" t="s">
        <v>441</v>
      </c>
      <c r="S174" s="4" t="s">
        <v>51</v>
      </c>
      <c r="T174" s="2">
        <v>0.56999999999999995</v>
      </c>
      <c r="U174" s="3">
        <v>40253</v>
      </c>
    </row>
    <row r="175" spans="1:21">
      <c r="A175" s="2">
        <v>311</v>
      </c>
      <c r="B175" s="2">
        <v>2150</v>
      </c>
      <c r="C175" s="6">
        <v>39966</v>
      </c>
      <c r="D175" s="4" t="s">
        <v>72</v>
      </c>
      <c r="E175" s="2">
        <v>21</v>
      </c>
      <c r="F175" s="5">
        <v>3905.75</v>
      </c>
      <c r="G175" s="5">
        <v>0.01</v>
      </c>
      <c r="H175" s="4" t="s">
        <v>37</v>
      </c>
      <c r="I175" s="5">
        <v>55.3</v>
      </c>
      <c r="J175" s="2">
        <v>179.29</v>
      </c>
      <c r="K175" s="5">
        <v>29.21</v>
      </c>
      <c r="L175" s="4" t="s">
        <v>442</v>
      </c>
      <c r="M175" s="4" t="s">
        <v>66</v>
      </c>
      <c r="N175" s="4" t="s">
        <v>66</v>
      </c>
      <c r="O175" s="4" t="s">
        <v>27</v>
      </c>
      <c r="P175" s="4" t="s">
        <v>33</v>
      </c>
      <c r="Q175" s="4" t="s">
        <v>38</v>
      </c>
      <c r="R175" s="2" t="s">
        <v>443</v>
      </c>
      <c r="S175" s="4" t="s">
        <v>39</v>
      </c>
      <c r="T175" s="2">
        <v>0.76</v>
      </c>
      <c r="U175" s="3">
        <v>39968</v>
      </c>
    </row>
    <row r="176" spans="1:21">
      <c r="A176" s="2">
        <v>314</v>
      </c>
      <c r="B176" s="2">
        <v>2208</v>
      </c>
      <c r="C176" s="6">
        <v>40663</v>
      </c>
      <c r="D176" s="4" t="s">
        <v>23</v>
      </c>
      <c r="E176" s="2">
        <v>7</v>
      </c>
      <c r="F176" s="5">
        <v>82.06</v>
      </c>
      <c r="G176" s="5">
        <v>7.0000000000000007E-2</v>
      </c>
      <c r="H176" s="4" t="s">
        <v>15</v>
      </c>
      <c r="I176" s="5">
        <v>-26.99</v>
      </c>
      <c r="J176" s="2">
        <v>11.5</v>
      </c>
      <c r="K176" s="5">
        <v>7.19</v>
      </c>
      <c r="L176" s="4" t="s">
        <v>445</v>
      </c>
      <c r="M176" s="4" t="s">
        <v>85</v>
      </c>
      <c r="N176" s="4" t="s">
        <v>86</v>
      </c>
      <c r="O176" s="4" t="s">
        <v>54</v>
      </c>
      <c r="P176" s="4" t="s">
        <v>19</v>
      </c>
      <c r="Q176" s="4" t="s">
        <v>111</v>
      </c>
      <c r="R176" s="2" t="s">
        <v>446</v>
      </c>
      <c r="S176" s="4" t="s">
        <v>51</v>
      </c>
      <c r="T176" s="2">
        <v>0.4</v>
      </c>
      <c r="U176" s="3">
        <v>40665</v>
      </c>
    </row>
    <row r="177" spans="1:21">
      <c r="A177" s="2">
        <v>324</v>
      </c>
      <c r="B177" s="2">
        <v>2240</v>
      </c>
      <c r="C177" s="6">
        <v>40973</v>
      </c>
      <c r="D177" s="4" t="s">
        <v>23</v>
      </c>
      <c r="E177" s="2">
        <v>17</v>
      </c>
      <c r="F177" s="5">
        <v>186.02</v>
      </c>
      <c r="G177" s="5">
        <v>0.01</v>
      </c>
      <c r="H177" s="4" t="s">
        <v>15</v>
      </c>
      <c r="I177" s="5">
        <v>16.48</v>
      </c>
      <c r="J177" s="2">
        <v>10.64</v>
      </c>
      <c r="K177" s="5">
        <v>5.16</v>
      </c>
      <c r="L177" s="4" t="s">
        <v>449</v>
      </c>
      <c r="M177" s="4" t="s">
        <v>43</v>
      </c>
      <c r="N177" s="4" t="s">
        <v>44</v>
      </c>
      <c r="O177" s="4" t="s">
        <v>60</v>
      </c>
      <c r="P177" s="4" t="s">
        <v>33</v>
      </c>
      <c r="Q177" s="4" t="s">
        <v>34</v>
      </c>
      <c r="R177" s="2" t="s">
        <v>450</v>
      </c>
      <c r="S177" s="4" t="s">
        <v>51</v>
      </c>
      <c r="T177" s="2">
        <v>0.56999999999999995</v>
      </c>
      <c r="U177" s="3">
        <v>40974</v>
      </c>
    </row>
    <row r="178" spans="1:21">
      <c r="A178" s="2">
        <v>327</v>
      </c>
      <c r="B178" s="2">
        <v>2244</v>
      </c>
      <c r="C178" s="6">
        <v>40186</v>
      </c>
      <c r="D178" s="4" t="s">
        <v>52</v>
      </c>
      <c r="E178" s="2">
        <v>19</v>
      </c>
      <c r="F178" s="5">
        <v>88.61</v>
      </c>
      <c r="G178" s="5">
        <v>0.01</v>
      </c>
      <c r="H178" s="4" t="s">
        <v>64</v>
      </c>
      <c r="I178" s="5">
        <v>21.47</v>
      </c>
      <c r="J178" s="2">
        <v>3.8</v>
      </c>
      <c r="K178" s="5">
        <v>1.49</v>
      </c>
      <c r="L178" s="4" t="s">
        <v>453</v>
      </c>
      <c r="M178" s="4" t="s">
        <v>85</v>
      </c>
      <c r="N178" s="4" t="s">
        <v>86</v>
      </c>
      <c r="O178" s="4" t="s">
        <v>60</v>
      </c>
      <c r="P178" s="4" t="s">
        <v>19</v>
      </c>
      <c r="Q178" s="4" t="s">
        <v>111</v>
      </c>
      <c r="R178" s="2" t="s">
        <v>454</v>
      </c>
      <c r="S178" s="4" t="s">
        <v>51</v>
      </c>
      <c r="T178" s="2">
        <v>0.38</v>
      </c>
      <c r="U178" s="3">
        <v>40188</v>
      </c>
    </row>
    <row r="179" spans="1:21">
      <c r="A179" s="2">
        <v>328</v>
      </c>
      <c r="B179" s="2">
        <v>2247</v>
      </c>
      <c r="C179" s="6">
        <v>41122</v>
      </c>
      <c r="D179" s="4" t="s">
        <v>23</v>
      </c>
      <c r="E179" s="2">
        <v>6</v>
      </c>
      <c r="F179" s="5">
        <v>21134.71</v>
      </c>
      <c r="G179" s="5">
        <v>0.06</v>
      </c>
      <c r="H179" s="4" t="s">
        <v>37</v>
      </c>
      <c r="I179" s="5">
        <v>-4266.09</v>
      </c>
      <c r="J179" s="2">
        <v>3502.14</v>
      </c>
      <c r="K179" s="5">
        <v>8.73</v>
      </c>
      <c r="L179" s="4" t="s">
        <v>455</v>
      </c>
      <c r="M179" s="4" t="s">
        <v>25</v>
      </c>
      <c r="N179" s="4" t="s">
        <v>26</v>
      </c>
      <c r="O179" s="4" t="s">
        <v>18</v>
      </c>
      <c r="P179" s="4" t="s">
        <v>40</v>
      </c>
      <c r="Q179" s="4" t="s">
        <v>81</v>
      </c>
      <c r="R179" s="2" t="s">
        <v>456</v>
      </c>
      <c r="S179" s="4" t="s">
        <v>39</v>
      </c>
      <c r="T179" s="2">
        <v>0.56999999999999995</v>
      </c>
      <c r="U179" s="3">
        <v>41124</v>
      </c>
    </row>
    <row r="180" spans="1:21">
      <c r="A180" s="2">
        <v>329</v>
      </c>
      <c r="B180" s="2">
        <v>2272</v>
      </c>
      <c r="C180" s="6">
        <v>40280</v>
      </c>
      <c r="D180" s="4" t="s">
        <v>31</v>
      </c>
      <c r="E180" s="2">
        <v>39</v>
      </c>
      <c r="F180" s="5">
        <v>7680.29</v>
      </c>
      <c r="G180" s="5">
        <v>0.08</v>
      </c>
      <c r="H180" s="4" t="s">
        <v>37</v>
      </c>
      <c r="I180" s="5">
        <v>-513.79</v>
      </c>
      <c r="J180" s="2">
        <v>212.6</v>
      </c>
      <c r="K180" s="5">
        <v>52.2</v>
      </c>
      <c r="L180" s="4" t="s">
        <v>457</v>
      </c>
      <c r="M180" s="4" t="s">
        <v>57</v>
      </c>
      <c r="N180" s="4" t="s">
        <v>57</v>
      </c>
      <c r="O180" s="4" t="s">
        <v>60</v>
      </c>
      <c r="P180" s="4" t="s">
        <v>33</v>
      </c>
      <c r="Q180" s="4" t="s">
        <v>38</v>
      </c>
      <c r="R180" s="2" t="s">
        <v>458</v>
      </c>
      <c r="S180" s="4" t="s">
        <v>39</v>
      </c>
      <c r="T180" s="2">
        <v>0.64</v>
      </c>
      <c r="U180" s="3">
        <v>40280</v>
      </c>
    </row>
    <row r="181" spans="1:21">
      <c r="A181" s="2">
        <v>330</v>
      </c>
      <c r="B181" s="2">
        <v>2275</v>
      </c>
      <c r="C181" s="6">
        <v>41203</v>
      </c>
      <c r="D181" s="4" t="s">
        <v>23</v>
      </c>
      <c r="E181" s="2">
        <v>49</v>
      </c>
      <c r="F181" s="5">
        <v>278</v>
      </c>
      <c r="G181" s="5">
        <v>0.08</v>
      </c>
      <c r="H181" s="4" t="s">
        <v>15</v>
      </c>
      <c r="I181" s="5">
        <v>41.67</v>
      </c>
      <c r="J181" s="2">
        <v>6.08</v>
      </c>
      <c r="K181" s="5">
        <v>1.17</v>
      </c>
      <c r="L181" s="4" t="s">
        <v>459</v>
      </c>
      <c r="M181" s="4" t="s">
        <v>17</v>
      </c>
      <c r="N181" s="4" t="s">
        <v>17</v>
      </c>
      <c r="O181" s="4" t="s">
        <v>18</v>
      </c>
      <c r="P181" s="4" t="s">
        <v>19</v>
      </c>
      <c r="Q181" s="4" t="s">
        <v>48</v>
      </c>
      <c r="R181" s="2" t="s">
        <v>460</v>
      </c>
      <c r="S181" s="4" t="s">
        <v>50</v>
      </c>
      <c r="T181" s="2">
        <v>0.56000000000000005</v>
      </c>
      <c r="U181" s="3">
        <v>41204</v>
      </c>
    </row>
    <row r="182" spans="1:21">
      <c r="A182" s="2">
        <v>333</v>
      </c>
      <c r="B182" s="2">
        <v>2279</v>
      </c>
      <c r="C182" s="6">
        <v>40231</v>
      </c>
      <c r="D182" s="4" t="s">
        <v>72</v>
      </c>
      <c r="E182" s="2">
        <v>49</v>
      </c>
      <c r="F182" s="5">
        <v>4577.18</v>
      </c>
      <c r="G182" s="5">
        <v>0</v>
      </c>
      <c r="H182" s="4" t="s">
        <v>37</v>
      </c>
      <c r="I182" s="5">
        <v>205.83</v>
      </c>
      <c r="J182" s="2">
        <v>90.98</v>
      </c>
      <c r="K182" s="5">
        <v>30</v>
      </c>
      <c r="L182" s="4" t="s">
        <v>461</v>
      </c>
      <c r="M182" s="4" t="s">
        <v>47</v>
      </c>
      <c r="N182" s="4" t="s">
        <v>26</v>
      </c>
      <c r="O182" s="4" t="s">
        <v>27</v>
      </c>
      <c r="P182" s="4" t="s">
        <v>33</v>
      </c>
      <c r="Q182" s="4" t="s">
        <v>172</v>
      </c>
      <c r="R182" s="2" t="s">
        <v>462</v>
      </c>
      <c r="S182" s="4" t="s">
        <v>121</v>
      </c>
      <c r="T182" s="2">
        <v>0.61</v>
      </c>
      <c r="U182" s="3">
        <v>40232</v>
      </c>
    </row>
    <row r="183" spans="1:21">
      <c r="A183" s="2">
        <v>335</v>
      </c>
      <c r="B183" s="2">
        <v>2305</v>
      </c>
      <c r="C183" s="6">
        <v>40203</v>
      </c>
      <c r="D183" s="4" t="s">
        <v>31</v>
      </c>
      <c r="E183" s="2">
        <v>33</v>
      </c>
      <c r="F183" s="5">
        <v>3116.47</v>
      </c>
      <c r="G183" s="5">
        <v>0.1</v>
      </c>
      <c r="H183" s="4" t="s">
        <v>37</v>
      </c>
      <c r="I183" s="5">
        <v>-1578.26</v>
      </c>
      <c r="J183" s="2">
        <v>100.98</v>
      </c>
      <c r="K183" s="5">
        <v>57.38</v>
      </c>
      <c r="L183" s="4" t="s">
        <v>463</v>
      </c>
      <c r="M183" s="4" t="s">
        <v>47</v>
      </c>
      <c r="N183" s="4" t="s">
        <v>26</v>
      </c>
      <c r="O183" s="4" t="s">
        <v>54</v>
      </c>
      <c r="P183" s="4" t="s">
        <v>33</v>
      </c>
      <c r="Q183" s="4" t="s">
        <v>87</v>
      </c>
      <c r="R183" s="2" t="s">
        <v>464</v>
      </c>
      <c r="S183" s="4" t="s">
        <v>39</v>
      </c>
      <c r="T183" s="2">
        <v>0.78</v>
      </c>
      <c r="U183" s="3">
        <v>40205</v>
      </c>
    </row>
    <row r="184" spans="1:21">
      <c r="A184" s="2">
        <v>338</v>
      </c>
      <c r="B184" s="2">
        <v>2306</v>
      </c>
      <c r="C184" s="6">
        <v>40749</v>
      </c>
      <c r="D184" s="4" t="s">
        <v>31</v>
      </c>
      <c r="E184" s="2">
        <v>15</v>
      </c>
      <c r="F184" s="5">
        <v>113.5</v>
      </c>
      <c r="G184" s="5">
        <v>0.05</v>
      </c>
      <c r="H184" s="4" t="s">
        <v>15</v>
      </c>
      <c r="I184" s="5">
        <v>-46.35</v>
      </c>
      <c r="J184" s="2">
        <v>7.45</v>
      </c>
      <c r="K184" s="5">
        <v>6.28</v>
      </c>
      <c r="L184" s="4" t="s">
        <v>465</v>
      </c>
      <c r="M184" s="4" t="s">
        <v>70</v>
      </c>
      <c r="N184" s="4" t="s">
        <v>44</v>
      </c>
      <c r="O184" s="4" t="s">
        <v>27</v>
      </c>
      <c r="P184" s="4" t="s">
        <v>19</v>
      </c>
      <c r="Q184" s="4" t="s">
        <v>111</v>
      </c>
      <c r="R184" s="2" t="s">
        <v>466</v>
      </c>
      <c r="S184" s="4" t="s">
        <v>51</v>
      </c>
      <c r="T184" s="2">
        <v>0.4</v>
      </c>
      <c r="U184" s="3">
        <v>40751</v>
      </c>
    </row>
    <row r="185" spans="1:21">
      <c r="A185" s="2">
        <v>341</v>
      </c>
      <c r="B185" s="2">
        <v>2311</v>
      </c>
      <c r="C185" s="6">
        <v>40664</v>
      </c>
      <c r="D185" s="4" t="s">
        <v>31</v>
      </c>
      <c r="E185" s="2">
        <v>31</v>
      </c>
      <c r="F185" s="5">
        <v>1324.09</v>
      </c>
      <c r="G185" s="5">
        <v>0.01</v>
      </c>
      <c r="H185" s="4" t="s">
        <v>15</v>
      </c>
      <c r="I185" s="5">
        <v>94.96</v>
      </c>
      <c r="J185" s="2">
        <v>40.89</v>
      </c>
      <c r="K185" s="5">
        <v>18.98</v>
      </c>
      <c r="L185" s="4" t="s">
        <v>467</v>
      </c>
      <c r="M185" s="4" t="s">
        <v>47</v>
      </c>
      <c r="N185" s="4" t="s">
        <v>26</v>
      </c>
      <c r="O185" s="4" t="s">
        <v>54</v>
      </c>
      <c r="P185" s="4" t="s">
        <v>33</v>
      </c>
      <c r="Q185" s="4" t="s">
        <v>34</v>
      </c>
      <c r="R185" s="2" t="s">
        <v>468</v>
      </c>
      <c r="S185" s="4" t="s">
        <v>51</v>
      </c>
      <c r="T185" s="2">
        <v>0.56999999999999995</v>
      </c>
      <c r="U185" s="3">
        <v>40665</v>
      </c>
    </row>
    <row r="186" spans="1:21">
      <c r="A186" s="2">
        <v>342</v>
      </c>
      <c r="B186" s="2">
        <v>2339</v>
      </c>
      <c r="C186" s="6">
        <v>40526</v>
      </c>
      <c r="D186" s="4" t="s">
        <v>14</v>
      </c>
      <c r="E186" s="2">
        <v>12</v>
      </c>
      <c r="F186" s="5">
        <v>1634.98</v>
      </c>
      <c r="G186" s="5">
        <v>0.09</v>
      </c>
      <c r="H186" s="4" t="s">
        <v>15</v>
      </c>
      <c r="I186" s="5">
        <v>-120.45</v>
      </c>
      <c r="J186" s="2">
        <v>140.85</v>
      </c>
      <c r="K186" s="5">
        <v>19.989999999999998</v>
      </c>
      <c r="L186" s="4" t="s">
        <v>469</v>
      </c>
      <c r="M186" s="4" t="s">
        <v>199</v>
      </c>
      <c r="N186" s="4" t="s">
        <v>86</v>
      </c>
      <c r="O186" s="4" t="s">
        <v>18</v>
      </c>
      <c r="P186" s="4" t="s">
        <v>19</v>
      </c>
      <c r="Q186" s="4" t="s">
        <v>20</v>
      </c>
      <c r="R186" s="2" t="s">
        <v>470</v>
      </c>
      <c r="S186" s="4" t="s">
        <v>51</v>
      </c>
      <c r="T186" s="2">
        <v>0.73</v>
      </c>
      <c r="U186" s="3">
        <v>40528</v>
      </c>
    </row>
    <row r="187" spans="1:21">
      <c r="A187" s="2">
        <v>343</v>
      </c>
      <c r="B187" s="2">
        <v>2341</v>
      </c>
      <c r="C187" s="6">
        <v>40327</v>
      </c>
      <c r="D187" s="4" t="s">
        <v>14</v>
      </c>
      <c r="E187" s="2">
        <v>29</v>
      </c>
      <c r="F187" s="5">
        <v>157.49</v>
      </c>
      <c r="G187" s="5">
        <v>0.09</v>
      </c>
      <c r="H187" s="4" t="s">
        <v>15</v>
      </c>
      <c r="I187" s="5">
        <v>-58.25</v>
      </c>
      <c r="J187" s="2">
        <v>5.78</v>
      </c>
      <c r="K187" s="5">
        <v>4.96</v>
      </c>
      <c r="L187" s="4" t="s">
        <v>471</v>
      </c>
      <c r="M187" s="4" t="s">
        <v>74</v>
      </c>
      <c r="N187" s="4" t="s">
        <v>74</v>
      </c>
      <c r="O187" s="4" t="s">
        <v>18</v>
      </c>
      <c r="P187" s="4" t="s">
        <v>19</v>
      </c>
      <c r="Q187" s="4" t="s">
        <v>78</v>
      </c>
      <c r="R187" s="2" t="s">
        <v>472</v>
      </c>
      <c r="S187" s="4" t="s">
        <v>51</v>
      </c>
      <c r="T187" s="2">
        <v>0.36</v>
      </c>
      <c r="U187" s="3">
        <v>40334</v>
      </c>
    </row>
    <row r="188" spans="1:21">
      <c r="A188" s="2">
        <v>344</v>
      </c>
      <c r="B188" s="2">
        <v>2368</v>
      </c>
      <c r="C188" s="6">
        <v>40409</v>
      </c>
      <c r="D188" s="4" t="s">
        <v>52</v>
      </c>
      <c r="E188" s="2">
        <v>36</v>
      </c>
      <c r="F188" s="5">
        <v>508.73</v>
      </c>
      <c r="G188" s="5">
        <v>0.08</v>
      </c>
      <c r="H188" s="4" t="s">
        <v>15</v>
      </c>
      <c r="I188" s="5">
        <v>-229.67</v>
      </c>
      <c r="J188" s="2">
        <v>14.81</v>
      </c>
      <c r="K188" s="5">
        <v>13.32</v>
      </c>
      <c r="L188" s="4" t="s">
        <v>473</v>
      </c>
      <c r="M188" s="4" t="s">
        <v>57</v>
      </c>
      <c r="N188" s="4" t="s">
        <v>57</v>
      </c>
      <c r="O188" s="4" t="s">
        <v>60</v>
      </c>
      <c r="P188" s="4" t="s">
        <v>19</v>
      </c>
      <c r="Q188" s="4" t="s">
        <v>117</v>
      </c>
      <c r="R188" s="2" t="s">
        <v>474</v>
      </c>
      <c r="S188" s="4" t="s">
        <v>51</v>
      </c>
      <c r="T188" s="2">
        <v>0.43</v>
      </c>
      <c r="U188" s="3">
        <v>40411</v>
      </c>
    </row>
    <row r="189" spans="1:21">
      <c r="A189" s="2">
        <v>348</v>
      </c>
      <c r="B189" s="2">
        <v>2374</v>
      </c>
      <c r="C189" s="6">
        <v>40479</v>
      </c>
      <c r="D189" s="4" t="s">
        <v>23</v>
      </c>
      <c r="E189" s="2">
        <v>21</v>
      </c>
      <c r="F189" s="5">
        <v>78.17</v>
      </c>
      <c r="G189" s="5">
        <v>0.01</v>
      </c>
      <c r="H189" s="4" t="s">
        <v>64</v>
      </c>
      <c r="I189" s="5">
        <v>-72.7</v>
      </c>
      <c r="J189" s="2">
        <v>2.84</v>
      </c>
      <c r="K189" s="5">
        <v>5.44</v>
      </c>
      <c r="L189" s="4" t="s">
        <v>475</v>
      </c>
      <c r="M189" s="4" t="s">
        <v>66</v>
      </c>
      <c r="N189" s="4" t="s">
        <v>66</v>
      </c>
      <c r="O189" s="4" t="s">
        <v>60</v>
      </c>
      <c r="P189" s="4" t="s">
        <v>19</v>
      </c>
      <c r="Q189" s="4" t="s">
        <v>111</v>
      </c>
      <c r="R189" s="2" t="s">
        <v>476</v>
      </c>
      <c r="S189" s="4" t="s">
        <v>51</v>
      </c>
      <c r="T189" s="2">
        <v>0.36</v>
      </c>
      <c r="U189" s="3">
        <v>40481</v>
      </c>
    </row>
    <row r="190" spans="1:21">
      <c r="A190" s="2">
        <v>350</v>
      </c>
      <c r="B190" s="2">
        <v>2436</v>
      </c>
      <c r="C190" s="6">
        <v>40796</v>
      </c>
      <c r="D190" s="4" t="s">
        <v>23</v>
      </c>
      <c r="E190" s="2">
        <v>14</v>
      </c>
      <c r="F190" s="5">
        <v>330.21</v>
      </c>
      <c r="G190" s="5">
        <v>7.0000000000000007E-2</v>
      </c>
      <c r="H190" s="4" t="s">
        <v>64</v>
      </c>
      <c r="I190" s="5">
        <v>83.24</v>
      </c>
      <c r="J190" s="2">
        <v>22.84</v>
      </c>
      <c r="K190" s="5">
        <v>5.47</v>
      </c>
      <c r="L190" s="4" t="s">
        <v>477</v>
      </c>
      <c r="M190" s="4" t="s">
        <v>74</v>
      </c>
      <c r="N190" s="4" t="s">
        <v>74</v>
      </c>
      <c r="O190" s="4" t="s">
        <v>27</v>
      </c>
      <c r="P190" s="4" t="s">
        <v>19</v>
      </c>
      <c r="Q190" s="4" t="s">
        <v>78</v>
      </c>
      <c r="R190" s="2" t="s">
        <v>478</v>
      </c>
      <c r="S190" s="4" t="s">
        <v>51</v>
      </c>
      <c r="T190" s="2">
        <v>0.39</v>
      </c>
      <c r="U190" s="3">
        <v>40799</v>
      </c>
    </row>
    <row r="191" spans="1:21">
      <c r="A191" s="2">
        <v>351</v>
      </c>
      <c r="B191" s="2">
        <v>2438</v>
      </c>
      <c r="C191" s="6">
        <v>40373</v>
      </c>
      <c r="D191" s="4" t="s">
        <v>31</v>
      </c>
      <c r="E191" s="2">
        <v>20</v>
      </c>
      <c r="F191" s="5">
        <v>278.68</v>
      </c>
      <c r="G191" s="5">
        <v>0.06</v>
      </c>
      <c r="H191" s="4" t="s">
        <v>15</v>
      </c>
      <c r="I191" s="5">
        <v>8.9</v>
      </c>
      <c r="J191" s="2">
        <v>14.48</v>
      </c>
      <c r="K191" s="5">
        <v>6.46</v>
      </c>
      <c r="L191" s="4" t="s">
        <v>479</v>
      </c>
      <c r="M191" s="4" t="s">
        <v>47</v>
      </c>
      <c r="N191" s="4" t="s">
        <v>26</v>
      </c>
      <c r="O191" s="4" t="s">
        <v>27</v>
      </c>
      <c r="P191" s="4" t="s">
        <v>19</v>
      </c>
      <c r="Q191" s="4" t="s">
        <v>111</v>
      </c>
      <c r="R191" s="2" t="s">
        <v>480</v>
      </c>
      <c r="S191" s="4" t="s">
        <v>51</v>
      </c>
      <c r="T191" s="2">
        <v>0.38</v>
      </c>
      <c r="U191" s="3">
        <v>40376</v>
      </c>
    </row>
    <row r="192" spans="1:21">
      <c r="A192" s="2">
        <v>356</v>
      </c>
      <c r="B192" s="2">
        <v>2497</v>
      </c>
      <c r="C192" s="6">
        <v>41147</v>
      </c>
      <c r="D192" s="4" t="s">
        <v>52</v>
      </c>
      <c r="E192" s="2">
        <v>21</v>
      </c>
      <c r="F192" s="5">
        <v>3629.1174999999998</v>
      </c>
      <c r="G192" s="5">
        <v>0.06</v>
      </c>
      <c r="H192" s="4" t="s">
        <v>15</v>
      </c>
      <c r="I192" s="5">
        <v>636.03</v>
      </c>
      <c r="J192" s="2">
        <v>205.99</v>
      </c>
      <c r="K192" s="5">
        <v>5.26</v>
      </c>
      <c r="L192" s="4" t="s">
        <v>481</v>
      </c>
      <c r="M192" s="4" t="s">
        <v>70</v>
      </c>
      <c r="N192" s="4" t="s">
        <v>44</v>
      </c>
      <c r="O192" s="4" t="s">
        <v>27</v>
      </c>
      <c r="P192" s="4" t="s">
        <v>40</v>
      </c>
      <c r="Q192" s="4" t="s">
        <v>41</v>
      </c>
      <c r="R192" s="2" t="s">
        <v>482</v>
      </c>
      <c r="S192" s="4" t="s">
        <v>51</v>
      </c>
      <c r="T192" s="2">
        <v>0.56000000000000005</v>
      </c>
      <c r="U192" s="3">
        <v>41149</v>
      </c>
    </row>
    <row r="193" spans="1:21">
      <c r="A193" s="2">
        <v>357</v>
      </c>
      <c r="B193" s="2">
        <v>2500</v>
      </c>
      <c r="C193" s="6">
        <v>41135</v>
      </c>
      <c r="D193" s="4" t="s">
        <v>31</v>
      </c>
      <c r="E193" s="2">
        <v>5</v>
      </c>
      <c r="F193" s="5">
        <v>22.56</v>
      </c>
      <c r="G193" s="5">
        <v>0.04</v>
      </c>
      <c r="H193" s="4" t="s">
        <v>15</v>
      </c>
      <c r="I193" s="5">
        <v>-25.56</v>
      </c>
      <c r="J193" s="2">
        <v>3.36</v>
      </c>
      <c r="K193" s="5">
        <v>6.27</v>
      </c>
      <c r="L193" s="4" t="s">
        <v>483</v>
      </c>
      <c r="M193" s="4" t="s">
        <v>74</v>
      </c>
      <c r="N193" s="4" t="s">
        <v>74</v>
      </c>
      <c r="O193" s="4" t="s">
        <v>18</v>
      </c>
      <c r="P193" s="4" t="s">
        <v>19</v>
      </c>
      <c r="Q193" s="4" t="s">
        <v>111</v>
      </c>
      <c r="R193" s="2" t="s">
        <v>484</v>
      </c>
      <c r="S193" s="4" t="s">
        <v>51</v>
      </c>
      <c r="T193" s="2">
        <v>0.4</v>
      </c>
      <c r="U193" s="3">
        <v>41137</v>
      </c>
    </row>
    <row r="194" spans="1:21">
      <c r="A194" s="2">
        <v>362</v>
      </c>
      <c r="B194" s="2">
        <v>2532</v>
      </c>
      <c r="C194" s="6">
        <v>40826</v>
      </c>
      <c r="D194" s="4" t="s">
        <v>31</v>
      </c>
      <c r="E194" s="2">
        <v>39</v>
      </c>
      <c r="F194" s="5">
        <v>282.07</v>
      </c>
      <c r="G194" s="5">
        <v>0.03</v>
      </c>
      <c r="H194" s="4" t="s">
        <v>15</v>
      </c>
      <c r="I194" s="5">
        <v>140.01</v>
      </c>
      <c r="J194" s="2">
        <v>7.31</v>
      </c>
      <c r="K194" s="5">
        <v>0.49</v>
      </c>
      <c r="L194" s="4" t="s">
        <v>486</v>
      </c>
      <c r="M194" s="4" t="s">
        <v>17</v>
      </c>
      <c r="N194" s="4" t="s">
        <v>17</v>
      </c>
      <c r="O194" s="4" t="s">
        <v>27</v>
      </c>
      <c r="P194" s="4" t="s">
        <v>19</v>
      </c>
      <c r="Q194" s="4" t="s">
        <v>75</v>
      </c>
      <c r="R194" s="2" t="s">
        <v>487</v>
      </c>
      <c r="S194" s="4" t="s">
        <v>51</v>
      </c>
      <c r="T194" s="2">
        <v>0.38</v>
      </c>
      <c r="U194" s="3">
        <v>40827</v>
      </c>
    </row>
    <row r="195" spans="1:21">
      <c r="A195" s="2">
        <v>364</v>
      </c>
      <c r="B195" s="2">
        <v>2535</v>
      </c>
      <c r="C195" s="6">
        <v>40322</v>
      </c>
      <c r="D195" s="4" t="s">
        <v>14</v>
      </c>
      <c r="E195" s="2">
        <v>6</v>
      </c>
      <c r="F195" s="5">
        <v>82.72</v>
      </c>
      <c r="G195" s="5">
        <v>0.08</v>
      </c>
      <c r="H195" s="4" t="s">
        <v>15</v>
      </c>
      <c r="I195" s="5">
        <v>-29.71</v>
      </c>
      <c r="J195" s="2">
        <v>14.48</v>
      </c>
      <c r="K195" s="5">
        <v>1.99</v>
      </c>
      <c r="L195" s="4" t="s">
        <v>488</v>
      </c>
      <c r="M195" s="4" t="s">
        <v>74</v>
      </c>
      <c r="N195" s="4" t="s">
        <v>74</v>
      </c>
      <c r="O195" s="4" t="s">
        <v>27</v>
      </c>
      <c r="P195" s="4" t="s">
        <v>40</v>
      </c>
      <c r="Q195" s="4" t="s">
        <v>45</v>
      </c>
      <c r="R195" s="2" t="s">
        <v>489</v>
      </c>
      <c r="S195" s="4" t="s">
        <v>30</v>
      </c>
      <c r="T195" s="2">
        <v>0.49</v>
      </c>
      <c r="U195" s="3">
        <v>40324</v>
      </c>
    </row>
    <row r="196" spans="1:21">
      <c r="A196" s="2">
        <v>367</v>
      </c>
      <c r="B196" s="2">
        <v>2562</v>
      </c>
      <c r="C196" s="6">
        <v>41121</v>
      </c>
      <c r="D196" s="4" t="s">
        <v>52</v>
      </c>
      <c r="E196" s="2">
        <v>28</v>
      </c>
      <c r="F196" s="5">
        <v>64.819999999999993</v>
      </c>
      <c r="G196" s="5">
        <v>0.02</v>
      </c>
      <c r="H196" s="4" t="s">
        <v>15</v>
      </c>
      <c r="I196" s="5">
        <v>-32.03</v>
      </c>
      <c r="J196" s="2">
        <v>2.12</v>
      </c>
      <c r="K196" s="5">
        <v>1.99</v>
      </c>
      <c r="L196" s="4" t="s">
        <v>490</v>
      </c>
      <c r="M196" s="4" t="s">
        <v>74</v>
      </c>
      <c r="N196" s="4" t="s">
        <v>74</v>
      </c>
      <c r="O196" s="4" t="s">
        <v>60</v>
      </c>
      <c r="P196" s="4" t="s">
        <v>40</v>
      </c>
      <c r="Q196" s="4" t="s">
        <v>45</v>
      </c>
      <c r="R196" s="2" t="s">
        <v>491</v>
      </c>
      <c r="S196" s="4" t="s">
        <v>30</v>
      </c>
      <c r="T196" s="2">
        <v>0.55000000000000004</v>
      </c>
      <c r="U196" s="3">
        <v>41124</v>
      </c>
    </row>
    <row r="197" spans="1:21">
      <c r="A197" s="2">
        <v>370</v>
      </c>
      <c r="B197" s="2">
        <v>2563</v>
      </c>
      <c r="C197" s="6">
        <v>40500</v>
      </c>
      <c r="D197" s="4" t="s">
        <v>23</v>
      </c>
      <c r="E197" s="2">
        <v>12</v>
      </c>
      <c r="F197" s="5">
        <v>31.77</v>
      </c>
      <c r="G197" s="5">
        <v>0.04</v>
      </c>
      <c r="H197" s="4" t="s">
        <v>15</v>
      </c>
      <c r="I197" s="5">
        <v>8.34</v>
      </c>
      <c r="J197" s="2">
        <v>2.61</v>
      </c>
      <c r="K197" s="5">
        <v>0.5</v>
      </c>
      <c r="L197" s="4" t="s">
        <v>492</v>
      </c>
      <c r="M197" s="4" t="s">
        <v>43</v>
      </c>
      <c r="N197" s="4" t="s">
        <v>44</v>
      </c>
      <c r="O197" s="4" t="s">
        <v>18</v>
      </c>
      <c r="P197" s="4" t="s">
        <v>19</v>
      </c>
      <c r="Q197" s="4" t="s">
        <v>75</v>
      </c>
      <c r="R197" s="2" t="s">
        <v>444</v>
      </c>
      <c r="S197" s="4" t="s">
        <v>51</v>
      </c>
      <c r="T197" s="2">
        <v>0.39</v>
      </c>
      <c r="U197" s="3">
        <v>40501</v>
      </c>
    </row>
    <row r="198" spans="1:21">
      <c r="A198" s="2">
        <v>374</v>
      </c>
      <c r="B198" s="2">
        <v>2595</v>
      </c>
      <c r="C198" s="6">
        <v>40890</v>
      </c>
      <c r="D198" s="4" t="s">
        <v>23</v>
      </c>
      <c r="E198" s="2">
        <v>13</v>
      </c>
      <c r="F198" s="5">
        <v>11764.25</v>
      </c>
      <c r="G198" s="5">
        <v>0.04</v>
      </c>
      <c r="H198" s="4" t="s">
        <v>37</v>
      </c>
      <c r="I198" s="5">
        <v>2322.44</v>
      </c>
      <c r="J198" s="2">
        <v>880.98</v>
      </c>
      <c r="K198" s="5">
        <v>44.55</v>
      </c>
      <c r="L198" s="4" t="s">
        <v>494</v>
      </c>
      <c r="M198" s="4" t="s">
        <v>47</v>
      </c>
      <c r="N198" s="4" t="s">
        <v>26</v>
      </c>
      <c r="O198" s="4" t="s">
        <v>27</v>
      </c>
      <c r="P198" s="4" t="s">
        <v>33</v>
      </c>
      <c r="Q198" s="4" t="s">
        <v>87</v>
      </c>
      <c r="R198" s="2" t="s">
        <v>495</v>
      </c>
      <c r="S198" s="4" t="s">
        <v>39</v>
      </c>
      <c r="T198" s="2">
        <v>0.62</v>
      </c>
      <c r="U198" s="3">
        <v>40891</v>
      </c>
    </row>
    <row r="199" spans="1:21">
      <c r="A199" s="2">
        <v>377</v>
      </c>
      <c r="B199" s="2">
        <v>2626</v>
      </c>
      <c r="C199" s="6">
        <v>40793</v>
      </c>
      <c r="D199" s="4" t="s">
        <v>23</v>
      </c>
      <c r="E199" s="2">
        <v>16</v>
      </c>
      <c r="F199" s="5">
        <v>48.37</v>
      </c>
      <c r="G199" s="5">
        <v>0.02</v>
      </c>
      <c r="H199" s="4" t="s">
        <v>15</v>
      </c>
      <c r="I199" s="5">
        <v>18.02</v>
      </c>
      <c r="J199" s="2">
        <v>2.88</v>
      </c>
      <c r="K199" s="5">
        <v>0.5</v>
      </c>
      <c r="L199" s="4" t="s">
        <v>496</v>
      </c>
      <c r="M199" s="4" t="s">
        <v>57</v>
      </c>
      <c r="N199" s="4" t="s">
        <v>57</v>
      </c>
      <c r="O199" s="4" t="s">
        <v>18</v>
      </c>
      <c r="P199" s="4" t="s">
        <v>19</v>
      </c>
      <c r="Q199" s="4" t="s">
        <v>75</v>
      </c>
      <c r="R199" s="2" t="s">
        <v>497</v>
      </c>
      <c r="S199" s="4" t="s">
        <v>51</v>
      </c>
      <c r="T199" s="2">
        <v>0.36</v>
      </c>
      <c r="U199" s="3">
        <v>40795</v>
      </c>
    </row>
    <row r="200" spans="1:21">
      <c r="A200" s="2">
        <v>378</v>
      </c>
      <c r="B200" s="2">
        <v>2628</v>
      </c>
      <c r="C200" s="6">
        <v>40472</v>
      </c>
      <c r="D200" s="4" t="s">
        <v>14</v>
      </c>
      <c r="E200" s="2">
        <v>14</v>
      </c>
      <c r="F200" s="5">
        <v>34.590000000000003</v>
      </c>
      <c r="G200" s="5">
        <v>0.04</v>
      </c>
      <c r="H200" s="4" t="s">
        <v>15</v>
      </c>
      <c r="I200" s="5">
        <v>-60.13</v>
      </c>
      <c r="J200" s="2">
        <v>2.1800000000000002</v>
      </c>
      <c r="K200" s="5">
        <v>5</v>
      </c>
      <c r="L200" s="4" t="s">
        <v>498</v>
      </c>
      <c r="M200" s="4" t="s">
        <v>57</v>
      </c>
      <c r="N200" s="4" t="s">
        <v>57</v>
      </c>
      <c r="O200" s="4" t="s">
        <v>60</v>
      </c>
      <c r="P200" s="4" t="s">
        <v>19</v>
      </c>
      <c r="Q200" s="4" t="s">
        <v>28</v>
      </c>
      <c r="R200" s="2" t="s">
        <v>499</v>
      </c>
      <c r="S200" s="4" t="s">
        <v>50</v>
      </c>
      <c r="T200" s="2">
        <v>0.81</v>
      </c>
      <c r="U200" s="3">
        <v>40477</v>
      </c>
    </row>
    <row r="201" spans="1:21">
      <c r="A201" s="2">
        <v>380</v>
      </c>
      <c r="B201" s="2">
        <v>2630</v>
      </c>
      <c r="C201" s="6">
        <v>41205</v>
      </c>
      <c r="D201" s="4" t="s">
        <v>14</v>
      </c>
      <c r="E201" s="2">
        <v>31</v>
      </c>
      <c r="F201" s="5">
        <v>146.51</v>
      </c>
      <c r="G201" s="5">
        <v>0.04</v>
      </c>
      <c r="H201" s="4" t="s">
        <v>15</v>
      </c>
      <c r="I201" s="5">
        <v>37.14</v>
      </c>
      <c r="J201" s="2">
        <v>4.7300000000000004</v>
      </c>
      <c r="K201" s="5">
        <v>1.52</v>
      </c>
      <c r="L201" s="4" t="s">
        <v>500</v>
      </c>
      <c r="M201" s="4" t="s">
        <v>70</v>
      </c>
      <c r="N201" s="4" t="s">
        <v>44</v>
      </c>
      <c r="O201" s="4" t="s">
        <v>27</v>
      </c>
      <c r="P201" s="4" t="s">
        <v>19</v>
      </c>
      <c r="Q201" s="4" t="s">
        <v>78</v>
      </c>
      <c r="R201" s="2" t="s">
        <v>501</v>
      </c>
      <c r="S201" s="4" t="s">
        <v>50</v>
      </c>
      <c r="T201" s="2">
        <v>0.36</v>
      </c>
      <c r="U201" s="3">
        <v>41205</v>
      </c>
    </row>
    <row r="202" spans="1:21">
      <c r="A202" s="2">
        <v>381</v>
      </c>
      <c r="B202" s="2">
        <v>2631</v>
      </c>
      <c r="C202" s="6">
        <v>40444</v>
      </c>
      <c r="D202" s="4" t="s">
        <v>14</v>
      </c>
      <c r="E202" s="2">
        <v>27</v>
      </c>
      <c r="F202" s="5">
        <v>1078.49</v>
      </c>
      <c r="G202" s="5">
        <v>0.08</v>
      </c>
      <c r="H202" s="4" t="s">
        <v>15</v>
      </c>
      <c r="I202" s="5">
        <v>252.66</v>
      </c>
      <c r="J202" s="2">
        <v>40.96</v>
      </c>
      <c r="K202" s="5">
        <v>1.99</v>
      </c>
      <c r="L202" s="4" t="s">
        <v>502</v>
      </c>
      <c r="M202" s="4" t="s">
        <v>17</v>
      </c>
      <c r="N202" s="4" t="s">
        <v>17</v>
      </c>
      <c r="O202" s="4" t="s">
        <v>27</v>
      </c>
      <c r="P202" s="4" t="s">
        <v>40</v>
      </c>
      <c r="Q202" s="4" t="s">
        <v>45</v>
      </c>
      <c r="R202" s="2" t="s">
        <v>503</v>
      </c>
      <c r="S202" s="4" t="s">
        <v>30</v>
      </c>
      <c r="T202" s="2">
        <v>0.55000000000000004</v>
      </c>
      <c r="U202" s="3">
        <v>40446</v>
      </c>
    </row>
    <row r="203" spans="1:21">
      <c r="A203" s="2">
        <v>382</v>
      </c>
      <c r="B203" s="2">
        <v>2656</v>
      </c>
      <c r="C203" s="6">
        <v>40301</v>
      </c>
      <c r="D203" s="4" t="s">
        <v>52</v>
      </c>
      <c r="E203" s="2">
        <v>3</v>
      </c>
      <c r="F203" s="5">
        <v>523.11</v>
      </c>
      <c r="G203" s="5">
        <v>0.05</v>
      </c>
      <c r="H203" s="4" t="s">
        <v>37</v>
      </c>
      <c r="I203" s="5">
        <v>-214.53</v>
      </c>
      <c r="J203" s="2">
        <v>159.31</v>
      </c>
      <c r="K203" s="5">
        <v>60</v>
      </c>
      <c r="L203" s="4" t="s">
        <v>504</v>
      </c>
      <c r="M203" s="4" t="s">
        <v>85</v>
      </c>
      <c r="N203" s="4" t="s">
        <v>86</v>
      </c>
      <c r="O203" s="4" t="s">
        <v>60</v>
      </c>
      <c r="P203" s="4" t="s">
        <v>33</v>
      </c>
      <c r="Q203" s="4" t="s">
        <v>38</v>
      </c>
      <c r="R203" s="2" t="s">
        <v>505</v>
      </c>
      <c r="S203" s="4" t="s">
        <v>121</v>
      </c>
      <c r="T203" s="2">
        <v>0.55000000000000004</v>
      </c>
      <c r="U203" s="3">
        <v>40302</v>
      </c>
    </row>
    <row r="204" spans="1:21">
      <c r="A204" s="2">
        <v>384</v>
      </c>
      <c r="B204" s="2">
        <v>2657</v>
      </c>
      <c r="C204" s="6">
        <v>40832</v>
      </c>
      <c r="D204" s="4" t="s">
        <v>31</v>
      </c>
      <c r="E204" s="2">
        <v>30</v>
      </c>
      <c r="F204" s="5">
        <v>8316.76</v>
      </c>
      <c r="G204" s="5">
        <v>0.05</v>
      </c>
      <c r="H204" s="4" t="s">
        <v>37</v>
      </c>
      <c r="I204" s="5">
        <v>2108.8000000000002</v>
      </c>
      <c r="J204" s="2">
        <v>279.81</v>
      </c>
      <c r="K204" s="5">
        <v>23.19</v>
      </c>
      <c r="L204" s="4" t="s">
        <v>506</v>
      </c>
      <c r="M204" s="4" t="s">
        <v>70</v>
      </c>
      <c r="N204" s="4" t="s">
        <v>44</v>
      </c>
      <c r="O204" s="4" t="s">
        <v>54</v>
      </c>
      <c r="P204" s="4" t="s">
        <v>19</v>
      </c>
      <c r="Q204" s="4" t="s">
        <v>117</v>
      </c>
      <c r="R204" s="2" t="s">
        <v>507</v>
      </c>
      <c r="S204" s="4" t="s">
        <v>121</v>
      </c>
      <c r="T204" s="2">
        <v>0.59</v>
      </c>
      <c r="U204" s="3">
        <v>40834</v>
      </c>
    </row>
    <row r="205" spans="1:21">
      <c r="A205" s="2">
        <v>386</v>
      </c>
      <c r="B205" s="2">
        <v>2658</v>
      </c>
      <c r="C205" s="6">
        <v>40808</v>
      </c>
      <c r="D205" s="4" t="s">
        <v>72</v>
      </c>
      <c r="E205" s="2">
        <v>34</v>
      </c>
      <c r="F205" s="5">
        <v>229.51</v>
      </c>
      <c r="G205" s="5">
        <v>0.04</v>
      </c>
      <c r="H205" s="4" t="s">
        <v>15</v>
      </c>
      <c r="I205" s="5">
        <v>-189.33</v>
      </c>
      <c r="J205" s="2">
        <v>6.48</v>
      </c>
      <c r="K205" s="5">
        <v>9.5399999999999991</v>
      </c>
      <c r="L205" s="4" t="s">
        <v>508</v>
      </c>
      <c r="M205" s="4" t="s">
        <v>74</v>
      </c>
      <c r="N205" s="4" t="s">
        <v>74</v>
      </c>
      <c r="O205" s="4" t="s">
        <v>18</v>
      </c>
      <c r="P205" s="4" t="s">
        <v>19</v>
      </c>
      <c r="Q205" s="4" t="s">
        <v>78</v>
      </c>
      <c r="R205" s="2" t="s">
        <v>509</v>
      </c>
      <c r="S205" s="4" t="s">
        <v>51</v>
      </c>
      <c r="T205" s="2">
        <v>0.37</v>
      </c>
      <c r="U205" s="3">
        <v>40809</v>
      </c>
    </row>
    <row r="206" spans="1:21">
      <c r="A206" s="2">
        <v>393</v>
      </c>
      <c r="B206" s="2">
        <v>2720</v>
      </c>
      <c r="C206" s="6">
        <v>40336</v>
      </c>
      <c r="D206" s="4" t="s">
        <v>52</v>
      </c>
      <c r="E206" s="2">
        <v>36</v>
      </c>
      <c r="F206" s="5">
        <v>2051.0160000000001</v>
      </c>
      <c r="G206" s="5">
        <v>0.02</v>
      </c>
      <c r="H206" s="4" t="s">
        <v>64</v>
      </c>
      <c r="I206" s="5">
        <v>483.97</v>
      </c>
      <c r="J206" s="2">
        <v>65.989999999999995</v>
      </c>
      <c r="K206" s="5">
        <v>3.99</v>
      </c>
      <c r="L206" s="4" t="s">
        <v>511</v>
      </c>
      <c r="M206" s="4" t="s">
        <v>47</v>
      </c>
      <c r="N206" s="4" t="s">
        <v>26</v>
      </c>
      <c r="O206" s="4" t="s">
        <v>18</v>
      </c>
      <c r="P206" s="4" t="s">
        <v>40</v>
      </c>
      <c r="Q206" s="4" t="s">
        <v>41</v>
      </c>
      <c r="R206" s="2" t="s">
        <v>512</v>
      </c>
      <c r="S206" s="4" t="s">
        <v>51</v>
      </c>
      <c r="T206" s="2">
        <v>0.59</v>
      </c>
      <c r="U206" s="3">
        <v>40339</v>
      </c>
    </row>
    <row r="207" spans="1:21">
      <c r="A207" s="2">
        <v>394</v>
      </c>
      <c r="B207" s="2">
        <v>2722</v>
      </c>
      <c r="C207" s="6">
        <v>39911</v>
      </c>
      <c r="D207" s="4" t="s">
        <v>14</v>
      </c>
      <c r="E207" s="2">
        <v>46</v>
      </c>
      <c r="F207" s="5">
        <v>1895.55</v>
      </c>
      <c r="G207" s="5">
        <v>0.06</v>
      </c>
      <c r="H207" s="4" t="s">
        <v>15</v>
      </c>
      <c r="I207" s="5">
        <v>807.62</v>
      </c>
      <c r="J207" s="2">
        <v>40.97</v>
      </c>
      <c r="K207" s="5">
        <v>1.99</v>
      </c>
      <c r="L207" s="4" t="s">
        <v>513</v>
      </c>
      <c r="M207" s="4" t="s">
        <v>85</v>
      </c>
      <c r="N207" s="4" t="s">
        <v>86</v>
      </c>
      <c r="O207" s="4" t="s">
        <v>60</v>
      </c>
      <c r="P207" s="4" t="s">
        <v>40</v>
      </c>
      <c r="Q207" s="4" t="s">
        <v>45</v>
      </c>
      <c r="R207" s="2" t="s">
        <v>514</v>
      </c>
      <c r="S207" s="4" t="s">
        <v>30</v>
      </c>
      <c r="T207" s="2">
        <v>0.42</v>
      </c>
      <c r="U207" s="3">
        <v>39915</v>
      </c>
    </row>
    <row r="208" spans="1:21">
      <c r="A208" s="2">
        <v>400</v>
      </c>
      <c r="B208" s="2">
        <v>2754</v>
      </c>
      <c r="C208" s="6">
        <v>39905</v>
      </c>
      <c r="D208" s="4" t="s">
        <v>31</v>
      </c>
      <c r="E208" s="2">
        <v>16</v>
      </c>
      <c r="F208" s="5">
        <v>1427.67</v>
      </c>
      <c r="G208" s="5">
        <v>0.04</v>
      </c>
      <c r="H208" s="4" t="s">
        <v>15</v>
      </c>
      <c r="I208" s="5">
        <v>422.8</v>
      </c>
      <c r="J208" s="2">
        <v>90.24</v>
      </c>
      <c r="K208" s="5">
        <v>0.99</v>
      </c>
      <c r="L208" s="4" t="s">
        <v>516</v>
      </c>
      <c r="M208" s="4" t="s">
        <v>57</v>
      </c>
      <c r="N208" s="4" t="s">
        <v>57</v>
      </c>
      <c r="O208" s="4" t="s">
        <v>54</v>
      </c>
      <c r="P208" s="4" t="s">
        <v>19</v>
      </c>
      <c r="Q208" s="4" t="s">
        <v>117</v>
      </c>
      <c r="R208" s="2" t="s">
        <v>517</v>
      </c>
      <c r="S208" s="4" t="s">
        <v>51</v>
      </c>
      <c r="T208" s="2">
        <v>0.56000000000000005</v>
      </c>
      <c r="U208" s="3">
        <v>39907</v>
      </c>
    </row>
    <row r="209" spans="1:21">
      <c r="A209" s="2">
        <v>402</v>
      </c>
      <c r="B209" s="2">
        <v>2755</v>
      </c>
      <c r="C209" s="6">
        <v>40945</v>
      </c>
      <c r="D209" s="4" t="s">
        <v>23</v>
      </c>
      <c r="E209" s="2">
        <v>30</v>
      </c>
      <c r="F209" s="5">
        <v>736.3</v>
      </c>
      <c r="G209" s="5">
        <v>0.03</v>
      </c>
      <c r="H209" s="4" t="s">
        <v>15</v>
      </c>
      <c r="I209" s="5">
        <v>259.07</v>
      </c>
      <c r="J209" s="2">
        <v>24.95</v>
      </c>
      <c r="K209" s="5">
        <v>2.99</v>
      </c>
      <c r="L209" s="4" t="s">
        <v>519</v>
      </c>
      <c r="M209" s="4" t="s">
        <v>57</v>
      </c>
      <c r="N209" s="4" t="s">
        <v>57</v>
      </c>
      <c r="O209" s="4" t="s">
        <v>27</v>
      </c>
      <c r="P209" s="4" t="s">
        <v>19</v>
      </c>
      <c r="Q209" s="4" t="s">
        <v>111</v>
      </c>
      <c r="R209" s="2" t="s">
        <v>452</v>
      </c>
      <c r="S209" s="4" t="s">
        <v>51</v>
      </c>
      <c r="T209" s="2">
        <v>0.39</v>
      </c>
      <c r="U209" s="3">
        <v>40945</v>
      </c>
    </row>
    <row r="210" spans="1:21">
      <c r="A210" s="2">
        <v>404</v>
      </c>
      <c r="B210" s="2">
        <v>2756</v>
      </c>
      <c r="C210" s="6">
        <v>39920</v>
      </c>
      <c r="D210" s="4" t="s">
        <v>52</v>
      </c>
      <c r="E210" s="2">
        <v>25</v>
      </c>
      <c r="F210" s="5">
        <v>1344.88</v>
      </c>
      <c r="G210" s="5">
        <v>0.06</v>
      </c>
      <c r="H210" s="4" t="s">
        <v>15</v>
      </c>
      <c r="I210" s="5">
        <v>-13.77</v>
      </c>
      <c r="J210" s="2">
        <v>55.94</v>
      </c>
      <c r="K210" s="5">
        <v>4</v>
      </c>
      <c r="L210" s="4" t="s">
        <v>520</v>
      </c>
      <c r="M210" s="4" t="s">
        <v>74</v>
      </c>
      <c r="N210" s="4" t="s">
        <v>74</v>
      </c>
      <c r="O210" s="4" t="s">
        <v>18</v>
      </c>
      <c r="P210" s="4" t="s">
        <v>40</v>
      </c>
      <c r="Q210" s="4" t="s">
        <v>45</v>
      </c>
      <c r="R210" s="2" t="s">
        <v>521</v>
      </c>
      <c r="S210" s="4" t="s">
        <v>51</v>
      </c>
      <c r="T210" s="2">
        <v>0.74</v>
      </c>
      <c r="U210" s="3">
        <v>39921</v>
      </c>
    </row>
    <row r="211" spans="1:21">
      <c r="A211" s="2">
        <v>413</v>
      </c>
      <c r="B211" s="2">
        <v>2791</v>
      </c>
      <c r="C211" s="6">
        <v>40095</v>
      </c>
      <c r="D211" s="4" t="s">
        <v>31</v>
      </c>
      <c r="E211" s="2">
        <v>47</v>
      </c>
      <c r="F211" s="5">
        <v>191.67</v>
      </c>
      <c r="G211" s="5">
        <v>0</v>
      </c>
      <c r="H211" s="4" t="s">
        <v>15</v>
      </c>
      <c r="I211" s="5">
        <v>-236.27</v>
      </c>
      <c r="J211" s="2">
        <v>3.89</v>
      </c>
      <c r="K211" s="5">
        <v>7.01</v>
      </c>
      <c r="L211" s="4" t="s">
        <v>525</v>
      </c>
      <c r="M211" s="4" t="s">
        <v>17</v>
      </c>
      <c r="N211" s="4" t="s">
        <v>17</v>
      </c>
      <c r="O211" s="4" t="s">
        <v>27</v>
      </c>
      <c r="P211" s="4" t="s">
        <v>19</v>
      </c>
      <c r="Q211" s="4" t="s">
        <v>111</v>
      </c>
      <c r="R211" s="2" t="s">
        <v>526</v>
      </c>
      <c r="S211" s="4" t="s">
        <v>51</v>
      </c>
      <c r="T211" s="2">
        <v>0.37</v>
      </c>
      <c r="U211" s="3">
        <v>40095</v>
      </c>
    </row>
    <row r="212" spans="1:21">
      <c r="A212" s="2">
        <v>416</v>
      </c>
      <c r="B212" s="2">
        <v>2816</v>
      </c>
      <c r="C212" s="6">
        <v>40075</v>
      </c>
      <c r="D212" s="4" t="s">
        <v>31</v>
      </c>
      <c r="E212" s="2">
        <v>35</v>
      </c>
      <c r="F212" s="5">
        <v>787.56</v>
      </c>
      <c r="G212" s="5">
        <v>0</v>
      </c>
      <c r="H212" s="4" t="s">
        <v>15</v>
      </c>
      <c r="I212" s="5">
        <v>220.04</v>
      </c>
      <c r="J212" s="2">
        <v>21.98</v>
      </c>
      <c r="K212" s="5">
        <v>2.87</v>
      </c>
      <c r="L212" s="4" t="s">
        <v>528</v>
      </c>
      <c r="M212" s="4" t="s">
        <v>70</v>
      </c>
      <c r="N212" s="4" t="s">
        <v>44</v>
      </c>
      <c r="O212" s="4" t="s">
        <v>27</v>
      </c>
      <c r="P212" s="4" t="s">
        <v>19</v>
      </c>
      <c r="Q212" s="4" t="s">
        <v>48</v>
      </c>
      <c r="R212" s="2" t="s">
        <v>529</v>
      </c>
      <c r="S212" s="4" t="s">
        <v>30</v>
      </c>
      <c r="T212" s="2">
        <v>0.55000000000000004</v>
      </c>
      <c r="U212" s="3">
        <v>40076</v>
      </c>
    </row>
    <row r="213" spans="1:21">
      <c r="A213" s="2">
        <v>417</v>
      </c>
      <c r="B213" s="2">
        <v>2817</v>
      </c>
      <c r="C213" s="6">
        <v>39921</v>
      </c>
      <c r="D213" s="4" t="s">
        <v>72</v>
      </c>
      <c r="E213" s="2">
        <v>14</v>
      </c>
      <c r="F213" s="5">
        <v>3830.14</v>
      </c>
      <c r="G213" s="5">
        <v>0.1</v>
      </c>
      <c r="H213" s="4" t="s">
        <v>15</v>
      </c>
      <c r="I213" s="5">
        <v>202.25</v>
      </c>
      <c r="J213" s="2">
        <v>300.97000000000003</v>
      </c>
      <c r="K213" s="5">
        <v>7.18</v>
      </c>
      <c r="L213" s="4" t="s">
        <v>530</v>
      </c>
      <c r="M213" s="4" t="s">
        <v>43</v>
      </c>
      <c r="N213" s="4" t="s">
        <v>44</v>
      </c>
      <c r="O213" s="4" t="s">
        <v>54</v>
      </c>
      <c r="P213" s="4" t="s">
        <v>40</v>
      </c>
      <c r="Q213" s="4" t="s">
        <v>45</v>
      </c>
      <c r="R213" s="2" t="s">
        <v>531</v>
      </c>
      <c r="S213" s="4" t="s">
        <v>51</v>
      </c>
      <c r="T213" s="2">
        <v>0.48</v>
      </c>
      <c r="U213" s="3">
        <v>39922</v>
      </c>
    </row>
    <row r="214" spans="1:21">
      <c r="A214" s="2">
        <v>428</v>
      </c>
      <c r="B214" s="2">
        <v>2853</v>
      </c>
      <c r="C214" s="6">
        <v>39937</v>
      </c>
      <c r="D214" s="4" t="s">
        <v>31</v>
      </c>
      <c r="E214" s="2">
        <v>25</v>
      </c>
      <c r="F214" s="5">
        <v>4253.6499999999996</v>
      </c>
      <c r="G214" s="5">
        <v>0.05</v>
      </c>
      <c r="H214" s="4" t="s">
        <v>64</v>
      </c>
      <c r="I214" s="5">
        <v>943</v>
      </c>
      <c r="J214" s="2">
        <v>178.47</v>
      </c>
      <c r="K214" s="5">
        <v>19.989999999999998</v>
      </c>
      <c r="L214" s="4" t="s">
        <v>534</v>
      </c>
      <c r="M214" s="4" t="s">
        <v>74</v>
      </c>
      <c r="N214" s="4" t="s">
        <v>74</v>
      </c>
      <c r="O214" s="4" t="s">
        <v>60</v>
      </c>
      <c r="P214" s="4" t="s">
        <v>19</v>
      </c>
      <c r="Q214" s="4" t="s">
        <v>20</v>
      </c>
      <c r="R214" s="2" t="s">
        <v>159</v>
      </c>
      <c r="S214" s="4" t="s">
        <v>51</v>
      </c>
      <c r="T214" s="2">
        <v>0.55000000000000004</v>
      </c>
      <c r="U214" s="3">
        <v>39940</v>
      </c>
    </row>
    <row r="215" spans="1:21">
      <c r="A215" s="2">
        <v>429</v>
      </c>
      <c r="B215" s="2">
        <v>2882</v>
      </c>
      <c r="C215" s="6">
        <v>40776</v>
      </c>
      <c r="D215" s="4" t="s">
        <v>31</v>
      </c>
      <c r="E215" s="2">
        <v>23</v>
      </c>
      <c r="F215" s="5">
        <v>3872.87</v>
      </c>
      <c r="G215" s="5">
        <v>0.03</v>
      </c>
      <c r="H215" s="4" t="s">
        <v>37</v>
      </c>
      <c r="I215" s="5">
        <v>565.34</v>
      </c>
      <c r="J215" s="2">
        <v>160.97999999999999</v>
      </c>
      <c r="K215" s="5">
        <v>30</v>
      </c>
      <c r="L215" s="4" t="s">
        <v>535</v>
      </c>
      <c r="M215" s="4" t="s">
        <v>25</v>
      </c>
      <c r="N215" s="4" t="s">
        <v>26</v>
      </c>
      <c r="O215" s="4" t="s">
        <v>60</v>
      </c>
      <c r="P215" s="4" t="s">
        <v>33</v>
      </c>
      <c r="Q215" s="4" t="s">
        <v>172</v>
      </c>
      <c r="R215" s="2" t="s">
        <v>536</v>
      </c>
      <c r="S215" s="4" t="s">
        <v>121</v>
      </c>
      <c r="T215" s="2">
        <v>0.62</v>
      </c>
      <c r="U215" s="3">
        <v>40778</v>
      </c>
    </row>
    <row r="216" spans="1:21">
      <c r="A216" s="2">
        <v>432</v>
      </c>
      <c r="B216" s="2">
        <v>2885</v>
      </c>
      <c r="C216" s="6">
        <v>41170</v>
      </c>
      <c r="D216" s="4" t="s">
        <v>23</v>
      </c>
      <c r="E216" s="2">
        <v>29</v>
      </c>
      <c r="F216" s="5">
        <v>197.41</v>
      </c>
      <c r="G216" s="5">
        <v>0.06</v>
      </c>
      <c r="H216" s="4" t="s">
        <v>15</v>
      </c>
      <c r="I216" s="5">
        <v>-128.68</v>
      </c>
      <c r="J216" s="2">
        <v>6.48</v>
      </c>
      <c r="K216" s="5">
        <v>8.4</v>
      </c>
      <c r="L216" s="4" t="s">
        <v>537</v>
      </c>
      <c r="M216" s="4" t="s">
        <v>258</v>
      </c>
      <c r="N216" s="4" t="s">
        <v>86</v>
      </c>
      <c r="O216" s="4" t="s">
        <v>54</v>
      </c>
      <c r="P216" s="4" t="s">
        <v>19</v>
      </c>
      <c r="Q216" s="4" t="s">
        <v>78</v>
      </c>
      <c r="R216" s="2" t="s">
        <v>538</v>
      </c>
      <c r="S216" s="4" t="s">
        <v>51</v>
      </c>
      <c r="T216" s="2">
        <v>0.37</v>
      </c>
      <c r="U216" s="3">
        <v>41170</v>
      </c>
    </row>
    <row r="217" spans="1:21">
      <c r="A217" s="2">
        <v>437</v>
      </c>
      <c r="B217" s="2">
        <v>2915</v>
      </c>
      <c r="C217" s="6">
        <v>39902</v>
      </c>
      <c r="D217" s="4" t="s">
        <v>14</v>
      </c>
      <c r="E217" s="2">
        <v>41</v>
      </c>
      <c r="F217" s="5">
        <v>231.26</v>
      </c>
      <c r="G217" s="5">
        <v>7.0000000000000007E-2</v>
      </c>
      <c r="H217" s="4" t="s">
        <v>15</v>
      </c>
      <c r="I217" s="5">
        <v>32.83</v>
      </c>
      <c r="J217" s="2">
        <v>5.98</v>
      </c>
      <c r="K217" s="5">
        <v>0.96</v>
      </c>
      <c r="L217" s="4" t="s">
        <v>539</v>
      </c>
      <c r="M217" s="4" t="s">
        <v>25</v>
      </c>
      <c r="N217" s="4" t="s">
        <v>26</v>
      </c>
      <c r="O217" s="4" t="s">
        <v>60</v>
      </c>
      <c r="P217" s="4" t="s">
        <v>19</v>
      </c>
      <c r="Q217" s="4" t="s">
        <v>48</v>
      </c>
      <c r="R217" s="2" t="s">
        <v>493</v>
      </c>
      <c r="S217" s="4" t="s">
        <v>50</v>
      </c>
      <c r="T217" s="2">
        <v>0.6</v>
      </c>
      <c r="U217" s="3">
        <v>39906</v>
      </c>
    </row>
    <row r="218" spans="1:21">
      <c r="A218" s="2">
        <v>441</v>
      </c>
      <c r="B218" s="2">
        <v>2978</v>
      </c>
      <c r="C218" s="6">
        <v>40665</v>
      </c>
      <c r="D218" s="4" t="s">
        <v>52</v>
      </c>
      <c r="E218" s="2">
        <v>34</v>
      </c>
      <c r="F218" s="5">
        <v>6264.1854999999996</v>
      </c>
      <c r="G218" s="5">
        <v>0.01</v>
      </c>
      <c r="H218" s="4" t="s">
        <v>15</v>
      </c>
      <c r="I218" s="5">
        <v>1312.04</v>
      </c>
      <c r="J218" s="2">
        <v>205.99</v>
      </c>
      <c r="K218" s="5">
        <v>19.989999999999998</v>
      </c>
      <c r="L218" s="4" t="s">
        <v>542</v>
      </c>
      <c r="M218" s="4" t="s">
        <v>74</v>
      </c>
      <c r="N218" s="4" t="s">
        <v>74</v>
      </c>
      <c r="O218" s="4" t="s">
        <v>27</v>
      </c>
      <c r="P218" s="4" t="s">
        <v>40</v>
      </c>
      <c r="Q218" s="4" t="s">
        <v>41</v>
      </c>
      <c r="R218" s="2" t="s">
        <v>543</v>
      </c>
      <c r="S218" s="4" t="s">
        <v>51</v>
      </c>
      <c r="T218" s="2">
        <v>0.6</v>
      </c>
      <c r="U218" s="3">
        <v>40666</v>
      </c>
    </row>
    <row r="219" spans="1:21">
      <c r="A219" s="2">
        <v>444</v>
      </c>
      <c r="B219" s="2">
        <v>3008</v>
      </c>
      <c r="C219" s="6">
        <v>40854</v>
      </c>
      <c r="D219" s="4" t="s">
        <v>72</v>
      </c>
      <c r="E219" s="2">
        <v>41</v>
      </c>
      <c r="F219" s="5">
        <v>6831.72</v>
      </c>
      <c r="G219" s="5">
        <v>0.01</v>
      </c>
      <c r="H219" s="4" t="s">
        <v>15</v>
      </c>
      <c r="I219" s="5">
        <v>3081.02</v>
      </c>
      <c r="J219" s="2">
        <v>162.93</v>
      </c>
      <c r="K219" s="5">
        <v>19.989999999999998</v>
      </c>
      <c r="L219" s="4" t="s">
        <v>545</v>
      </c>
      <c r="M219" s="4" t="s">
        <v>74</v>
      </c>
      <c r="N219" s="4" t="s">
        <v>74</v>
      </c>
      <c r="O219" s="4" t="s">
        <v>60</v>
      </c>
      <c r="P219" s="4" t="s">
        <v>19</v>
      </c>
      <c r="Q219" s="4" t="s">
        <v>128</v>
      </c>
      <c r="R219" s="2" t="s">
        <v>544</v>
      </c>
      <c r="S219" s="4" t="s">
        <v>51</v>
      </c>
      <c r="T219" s="2">
        <v>0.39</v>
      </c>
      <c r="U219" s="3">
        <v>40855</v>
      </c>
    </row>
    <row r="220" spans="1:21">
      <c r="A220" s="2">
        <v>447</v>
      </c>
      <c r="B220" s="2">
        <v>3040</v>
      </c>
      <c r="C220" s="6">
        <v>40279</v>
      </c>
      <c r="D220" s="4" t="s">
        <v>72</v>
      </c>
      <c r="E220" s="2">
        <v>13</v>
      </c>
      <c r="F220" s="5">
        <v>98.39</v>
      </c>
      <c r="G220" s="5">
        <v>0.01</v>
      </c>
      <c r="H220" s="4" t="s">
        <v>64</v>
      </c>
      <c r="I220" s="5">
        <v>-31.54</v>
      </c>
      <c r="J220" s="2">
        <v>6.48</v>
      </c>
      <c r="K220" s="5">
        <v>6.6</v>
      </c>
      <c r="L220" s="4" t="s">
        <v>547</v>
      </c>
      <c r="M220" s="4" t="s">
        <v>70</v>
      </c>
      <c r="N220" s="4" t="s">
        <v>44</v>
      </c>
      <c r="O220" s="4" t="s">
        <v>60</v>
      </c>
      <c r="P220" s="4" t="s">
        <v>19</v>
      </c>
      <c r="Q220" s="4" t="s">
        <v>78</v>
      </c>
      <c r="R220" s="2" t="s">
        <v>548</v>
      </c>
      <c r="S220" s="4" t="s">
        <v>51</v>
      </c>
      <c r="T220" s="2">
        <v>0.37</v>
      </c>
      <c r="U220" s="3">
        <v>40280</v>
      </c>
    </row>
    <row r="221" spans="1:21">
      <c r="A221" s="2">
        <v>448</v>
      </c>
      <c r="B221" s="2">
        <v>3042</v>
      </c>
      <c r="C221" s="6">
        <v>40137</v>
      </c>
      <c r="D221" s="4" t="s">
        <v>72</v>
      </c>
      <c r="E221" s="2">
        <v>26</v>
      </c>
      <c r="F221" s="5">
        <v>103.87</v>
      </c>
      <c r="G221" s="5">
        <v>0.1</v>
      </c>
      <c r="H221" s="4" t="s">
        <v>15</v>
      </c>
      <c r="I221" s="5">
        <v>15.42</v>
      </c>
      <c r="J221" s="2">
        <v>4.26</v>
      </c>
      <c r="K221" s="5">
        <v>1.2</v>
      </c>
      <c r="L221" s="4" t="s">
        <v>549</v>
      </c>
      <c r="M221" s="4" t="s">
        <v>74</v>
      </c>
      <c r="N221" s="4" t="s">
        <v>74</v>
      </c>
      <c r="O221" s="4" t="s">
        <v>60</v>
      </c>
      <c r="P221" s="4" t="s">
        <v>19</v>
      </c>
      <c r="Q221" s="4" t="s">
        <v>48</v>
      </c>
      <c r="R221" s="2" t="s">
        <v>227</v>
      </c>
      <c r="S221" s="4" t="s">
        <v>50</v>
      </c>
      <c r="T221" s="2">
        <v>0.44</v>
      </c>
      <c r="U221" s="3">
        <v>40138</v>
      </c>
    </row>
    <row r="222" spans="1:21">
      <c r="A222" s="2">
        <v>450</v>
      </c>
      <c r="B222" s="2">
        <v>3073</v>
      </c>
      <c r="C222" s="6">
        <v>39820</v>
      </c>
      <c r="D222" s="4" t="s">
        <v>72</v>
      </c>
      <c r="E222" s="2">
        <v>3</v>
      </c>
      <c r="F222" s="5">
        <v>10.58</v>
      </c>
      <c r="G222" s="5">
        <v>0.05</v>
      </c>
      <c r="H222" s="4" t="s">
        <v>15</v>
      </c>
      <c r="I222" s="5">
        <v>-11.58</v>
      </c>
      <c r="J222" s="2">
        <v>1.98</v>
      </c>
      <c r="K222" s="5">
        <v>4.7699999999999996</v>
      </c>
      <c r="L222" s="4" t="s">
        <v>550</v>
      </c>
      <c r="M222" s="4" t="s">
        <v>66</v>
      </c>
      <c r="N222" s="4" t="s">
        <v>66</v>
      </c>
      <c r="O222" s="4" t="s">
        <v>54</v>
      </c>
      <c r="P222" s="4" t="s">
        <v>19</v>
      </c>
      <c r="Q222" s="4" t="s">
        <v>111</v>
      </c>
      <c r="R222" s="2" t="s">
        <v>551</v>
      </c>
      <c r="S222" s="4" t="s">
        <v>51</v>
      </c>
      <c r="T222" s="2">
        <v>0.4</v>
      </c>
      <c r="U222" s="3">
        <v>39821</v>
      </c>
    </row>
    <row r="223" spans="1:21">
      <c r="A223" s="2">
        <v>455</v>
      </c>
      <c r="B223" s="2">
        <v>3104</v>
      </c>
      <c r="C223" s="6">
        <v>40436</v>
      </c>
      <c r="D223" s="4" t="s">
        <v>72</v>
      </c>
      <c r="E223" s="2">
        <v>50</v>
      </c>
      <c r="F223" s="5">
        <v>336.06</v>
      </c>
      <c r="G223" s="5">
        <v>0.01</v>
      </c>
      <c r="H223" s="4" t="s">
        <v>15</v>
      </c>
      <c r="I223" s="5">
        <v>-240.78</v>
      </c>
      <c r="J223" s="2">
        <v>6.48</v>
      </c>
      <c r="K223" s="5">
        <v>8.8800000000000008</v>
      </c>
      <c r="L223" s="4" t="s">
        <v>552</v>
      </c>
      <c r="M223" s="4" t="s">
        <v>85</v>
      </c>
      <c r="N223" s="4" t="s">
        <v>86</v>
      </c>
      <c r="O223" s="4" t="s">
        <v>60</v>
      </c>
      <c r="P223" s="4" t="s">
        <v>19</v>
      </c>
      <c r="Q223" s="4" t="s">
        <v>78</v>
      </c>
      <c r="R223" s="2" t="s">
        <v>553</v>
      </c>
      <c r="S223" s="4" t="s">
        <v>51</v>
      </c>
      <c r="T223" s="2">
        <v>0.37</v>
      </c>
      <c r="U223" s="3">
        <v>40438</v>
      </c>
    </row>
    <row r="224" spans="1:21">
      <c r="A224" s="2">
        <v>460</v>
      </c>
      <c r="B224" s="2">
        <v>3110</v>
      </c>
      <c r="C224" s="6">
        <v>40163</v>
      </c>
      <c r="D224" s="4" t="s">
        <v>31</v>
      </c>
      <c r="E224" s="2">
        <v>13</v>
      </c>
      <c r="F224" s="5">
        <v>1601.32</v>
      </c>
      <c r="G224" s="5">
        <v>0.04</v>
      </c>
      <c r="H224" s="4" t="s">
        <v>37</v>
      </c>
      <c r="I224" s="5">
        <v>377.81</v>
      </c>
      <c r="J224" s="2">
        <v>119.99</v>
      </c>
      <c r="K224" s="5">
        <v>14</v>
      </c>
      <c r="L224" s="4" t="s">
        <v>555</v>
      </c>
      <c r="M224" s="4" t="s">
        <v>70</v>
      </c>
      <c r="N224" s="4" t="s">
        <v>44</v>
      </c>
      <c r="O224" s="4" t="s">
        <v>27</v>
      </c>
      <c r="P224" s="4" t="s">
        <v>40</v>
      </c>
      <c r="Q224" s="4" t="s">
        <v>81</v>
      </c>
      <c r="R224" s="2" t="s">
        <v>556</v>
      </c>
      <c r="S224" s="4" t="s">
        <v>121</v>
      </c>
      <c r="T224" s="2">
        <v>0.36</v>
      </c>
      <c r="U224" s="3">
        <v>40165</v>
      </c>
    </row>
    <row r="225" spans="1:21">
      <c r="A225" s="2">
        <v>461</v>
      </c>
      <c r="B225" s="2">
        <v>3136</v>
      </c>
      <c r="C225" s="6">
        <v>40034</v>
      </c>
      <c r="D225" s="4" t="s">
        <v>23</v>
      </c>
      <c r="E225" s="2">
        <v>8</v>
      </c>
      <c r="F225" s="5">
        <v>238.74</v>
      </c>
      <c r="G225" s="5">
        <v>0.1</v>
      </c>
      <c r="H225" s="4" t="s">
        <v>15</v>
      </c>
      <c r="I225" s="5">
        <v>-38.89</v>
      </c>
      <c r="J225" s="2">
        <v>30.98</v>
      </c>
      <c r="K225" s="5">
        <v>8.99</v>
      </c>
      <c r="L225" s="4" t="s">
        <v>557</v>
      </c>
      <c r="M225" s="4" t="s">
        <v>57</v>
      </c>
      <c r="N225" s="4" t="s">
        <v>57</v>
      </c>
      <c r="O225" s="4" t="s">
        <v>27</v>
      </c>
      <c r="P225" s="4" t="s">
        <v>19</v>
      </c>
      <c r="Q225" s="4" t="s">
        <v>48</v>
      </c>
      <c r="R225" s="2" t="s">
        <v>368</v>
      </c>
      <c r="S225" s="4" t="s">
        <v>30</v>
      </c>
      <c r="T225" s="2">
        <v>0.57999999999999996</v>
      </c>
      <c r="U225" s="3">
        <v>40036</v>
      </c>
    </row>
    <row r="226" spans="1:21">
      <c r="A226" s="2">
        <v>462</v>
      </c>
      <c r="B226" s="2">
        <v>3138</v>
      </c>
      <c r="C226" s="6">
        <v>39852</v>
      </c>
      <c r="D226" s="4" t="s">
        <v>23</v>
      </c>
      <c r="E226" s="2">
        <v>4</v>
      </c>
      <c r="F226" s="5">
        <v>718.03</v>
      </c>
      <c r="G226" s="5">
        <v>7.0000000000000007E-2</v>
      </c>
      <c r="H226" s="4" t="s">
        <v>64</v>
      </c>
      <c r="I226" s="5">
        <v>-427.47</v>
      </c>
      <c r="J226" s="2">
        <v>179.99</v>
      </c>
      <c r="K226" s="5">
        <v>19.989999999999998</v>
      </c>
      <c r="L226" s="4" t="s">
        <v>558</v>
      </c>
      <c r="M226" s="4" t="s">
        <v>66</v>
      </c>
      <c r="N226" s="4" t="s">
        <v>66</v>
      </c>
      <c r="O226" s="4" t="s">
        <v>60</v>
      </c>
      <c r="P226" s="4" t="s">
        <v>40</v>
      </c>
      <c r="Q226" s="4" t="s">
        <v>45</v>
      </c>
      <c r="R226" s="2" t="s">
        <v>559</v>
      </c>
      <c r="S226" s="4" t="s">
        <v>51</v>
      </c>
      <c r="T226" s="2">
        <v>0.48</v>
      </c>
      <c r="U226" s="3">
        <v>39852</v>
      </c>
    </row>
    <row r="227" spans="1:21">
      <c r="A227" s="2">
        <v>463</v>
      </c>
      <c r="B227" s="2">
        <v>3141</v>
      </c>
      <c r="C227" s="6">
        <v>40856</v>
      </c>
      <c r="D227" s="4" t="s">
        <v>52</v>
      </c>
      <c r="E227" s="2">
        <v>30</v>
      </c>
      <c r="F227" s="5">
        <v>534.96</v>
      </c>
      <c r="G227" s="5">
        <v>0.08</v>
      </c>
      <c r="H227" s="4" t="s">
        <v>15</v>
      </c>
      <c r="I227" s="5">
        <v>-26.72</v>
      </c>
      <c r="J227" s="2">
        <v>18.89</v>
      </c>
      <c r="K227" s="5">
        <v>3.17</v>
      </c>
      <c r="L227" s="4" t="s">
        <v>560</v>
      </c>
      <c r="M227" s="4" t="s">
        <v>66</v>
      </c>
      <c r="N227" s="4" t="s">
        <v>66</v>
      </c>
      <c r="O227" s="4" t="s">
        <v>54</v>
      </c>
      <c r="P227" s="4" t="s">
        <v>40</v>
      </c>
      <c r="Q227" s="4" t="s">
        <v>45</v>
      </c>
      <c r="R227" s="2" t="s">
        <v>561</v>
      </c>
      <c r="S227" s="4" t="s">
        <v>30</v>
      </c>
      <c r="T227" s="2">
        <v>0.69</v>
      </c>
      <c r="U227" s="3">
        <v>40858</v>
      </c>
    </row>
    <row r="228" spans="1:21">
      <c r="A228" s="2">
        <v>466</v>
      </c>
      <c r="B228" s="2">
        <v>3172</v>
      </c>
      <c r="C228" s="6">
        <v>41062</v>
      </c>
      <c r="D228" s="4" t="s">
        <v>23</v>
      </c>
      <c r="E228" s="2">
        <v>33</v>
      </c>
      <c r="F228" s="5">
        <v>584.51099999999997</v>
      </c>
      <c r="G228" s="5">
        <v>0.05</v>
      </c>
      <c r="H228" s="4" t="s">
        <v>15</v>
      </c>
      <c r="I228" s="5">
        <v>-95.98</v>
      </c>
      <c r="J228" s="2">
        <v>20.99</v>
      </c>
      <c r="K228" s="5">
        <v>3.3</v>
      </c>
      <c r="L228" s="4" t="s">
        <v>562</v>
      </c>
      <c r="M228" s="4" t="s">
        <v>25</v>
      </c>
      <c r="N228" s="4" t="s">
        <v>26</v>
      </c>
      <c r="O228" s="4" t="s">
        <v>60</v>
      </c>
      <c r="P228" s="4" t="s">
        <v>40</v>
      </c>
      <c r="Q228" s="4" t="s">
        <v>41</v>
      </c>
      <c r="R228" s="2" t="s">
        <v>563</v>
      </c>
      <c r="S228" s="4" t="s">
        <v>30</v>
      </c>
      <c r="T228" s="2">
        <v>0.81</v>
      </c>
      <c r="U228" s="3">
        <v>41064</v>
      </c>
    </row>
    <row r="229" spans="1:21">
      <c r="A229" s="2">
        <v>467</v>
      </c>
      <c r="B229" s="2">
        <v>3175</v>
      </c>
      <c r="C229" s="6">
        <v>40008</v>
      </c>
      <c r="D229" s="4" t="s">
        <v>14</v>
      </c>
      <c r="E229" s="2">
        <v>23</v>
      </c>
      <c r="F229" s="5">
        <v>3553.62</v>
      </c>
      <c r="G229" s="5">
        <v>7.0000000000000007E-2</v>
      </c>
      <c r="H229" s="4" t="s">
        <v>15</v>
      </c>
      <c r="I229" s="5">
        <v>521.69000000000005</v>
      </c>
      <c r="J229" s="2">
        <v>165.2</v>
      </c>
      <c r="K229" s="5">
        <v>19.989999999999998</v>
      </c>
      <c r="L229" s="4" t="s">
        <v>564</v>
      </c>
      <c r="M229" s="4" t="s">
        <v>74</v>
      </c>
      <c r="N229" s="4" t="s">
        <v>74</v>
      </c>
      <c r="O229" s="4" t="s">
        <v>18</v>
      </c>
      <c r="P229" s="4" t="s">
        <v>19</v>
      </c>
      <c r="Q229" s="4" t="s">
        <v>20</v>
      </c>
      <c r="R229" s="2" t="s">
        <v>565</v>
      </c>
      <c r="S229" s="4" t="s">
        <v>51</v>
      </c>
      <c r="T229" s="2">
        <v>0.59</v>
      </c>
      <c r="U229" s="3">
        <v>40010</v>
      </c>
    </row>
    <row r="230" spans="1:21">
      <c r="A230" s="2">
        <v>468</v>
      </c>
      <c r="B230" s="2">
        <v>3202</v>
      </c>
      <c r="C230" s="6">
        <v>41266</v>
      </c>
      <c r="D230" s="4" t="s">
        <v>14</v>
      </c>
      <c r="E230" s="2">
        <v>10</v>
      </c>
      <c r="F230" s="5">
        <v>554.21</v>
      </c>
      <c r="G230" s="5">
        <v>0.05</v>
      </c>
      <c r="H230" s="4" t="s">
        <v>15</v>
      </c>
      <c r="I230" s="5">
        <v>-105.37</v>
      </c>
      <c r="J230" s="2">
        <v>53.98</v>
      </c>
      <c r="K230" s="5">
        <v>5.5</v>
      </c>
      <c r="L230" s="4" t="s">
        <v>566</v>
      </c>
      <c r="M230" s="4" t="s">
        <v>43</v>
      </c>
      <c r="N230" s="4" t="s">
        <v>44</v>
      </c>
      <c r="O230" s="4" t="s">
        <v>60</v>
      </c>
      <c r="P230" s="4" t="s">
        <v>40</v>
      </c>
      <c r="Q230" s="4" t="s">
        <v>45</v>
      </c>
      <c r="R230" s="2" t="s">
        <v>567</v>
      </c>
      <c r="S230" s="4" t="s">
        <v>51</v>
      </c>
      <c r="T230" s="2">
        <v>0.62</v>
      </c>
      <c r="U230" s="3">
        <v>41270</v>
      </c>
    </row>
    <row r="231" spans="1:21">
      <c r="A231" s="2">
        <v>469</v>
      </c>
      <c r="B231" s="2">
        <v>3205</v>
      </c>
      <c r="C231" s="6">
        <v>41009</v>
      </c>
      <c r="D231" s="4" t="s">
        <v>14</v>
      </c>
      <c r="E231" s="2">
        <v>8</v>
      </c>
      <c r="F231" s="5">
        <v>136.61000000000001</v>
      </c>
      <c r="G231" s="5">
        <v>0.01</v>
      </c>
      <c r="H231" s="4" t="s">
        <v>15</v>
      </c>
      <c r="I231" s="5">
        <v>80.430000000000007</v>
      </c>
      <c r="J231" s="2">
        <v>15.68</v>
      </c>
      <c r="K231" s="5">
        <v>3.73</v>
      </c>
      <c r="L231" s="4" t="s">
        <v>568</v>
      </c>
      <c r="M231" s="4" t="s">
        <v>66</v>
      </c>
      <c r="N231" s="4" t="s">
        <v>66</v>
      </c>
      <c r="O231" s="4" t="s">
        <v>60</v>
      </c>
      <c r="P231" s="4" t="s">
        <v>33</v>
      </c>
      <c r="Q231" s="4" t="s">
        <v>34</v>
      </c>
      <c r="R231" s="2" t="s">
        <v>532</v>
      </c>
      <c r="S231" s="4" t="s">
        <v>30</v>
      </c>
      <c r="T231" s="2">
        <v>0.46</v>
      </c>
      <c r="U231" s="3">
        <v>41009</v>
      </c>
    </row>
    <row r="232" spans="1:21">
      <c r="A232" s="2">
        <v>471</v>
      </c>
      <c r="B232" s="2">
        <v>3232</v>
      </c>
      <c r="C232" s="6">
        <v>41190</v>
      </c>
      <c r="D232" s="4" t="s">
        <v>52</v>
      </c>
      <c r="E232" s="2">
        <v>5</v>
      </c>
      <c r="F232" s="5">
        <v>42.66</v>
      </c>
      <c r="G232" s="5">
        <v>0.06</v>
      </c>
      <c r="H232" s="4" t="s">
        <v>15</v>
      </c>
      <c r="I232" s="5">
        <v>-11.83</v>
      </c>
      <c r="J232" s="2">
        <v>7.84</v>
      </c>
      <c r="K232" s="5">
        <v>4.71</v>
      </c>
      <c r="L232" s="4" t="s">
        <v>569</v>
      </c>
      <c r="M232" s="4" t="s">
        <v>17</v>
      </c>
      <c r="N232" s="4" t="s">
        <v>17</v>
      </c>
      <c r="O232" s="4" t="s">
        <v>18</v>
      </c>
      <c r="P232" s="4" t="s">
        <v>19</v>
      </c>
      <c r="Q232" s="4" t="s">
        <v>111</v>
      </c>
      <c r="R232" s="2" t="s">
        <v>570</v>
      </c>
      <c r="S232" s="4" t="s">
        <v>51</v>
      </c>
      <c r="T232" s="2">
        <v>0.35</v>
      </c>
      <c r="U232" s="3">
        <v>41192</v>
      </c>
    </row>
    <row r="233" spans="1:21">
      <c r="A233" s="2">
        <v>472</v>
      </c>
      <c r="B233" s="2">
        <v>3235</v>
      </c>
      <c r="C233" s="6">
        <v>40861</v>
      </c>
      <c r="D233" s="4" t="s">
        <v>14</v>
      </c>
      <c r="E233" s="2">
        <v>31</v>
      </c>
      <c r="F233" s="5">
        <v>142.97</v>
      </c>
      <c r="G233" s="5">
        <v>0.1</v>
      </c>
      <c r="H233" s="4" t="s">
        <v>64</v>
      </c>
      <c r="I233" s="5">
        <v>-12.26</v>
      </c>
      <c r="J233" s="2">
        <v>4.71</v>
      </c>
      <c r="K233" s="5">
        <v>0.7</v>
      </c>
      <c r="L233" s="4" t="s">
        <v>571</v>
      </c>
      <c r="M233" s="4" t="s">
        <v>57</v>
      </c>
      <c r="N233" s="4" t="s">
        <v>57</v>
      </c>
      <c r="O233" s="4" t="s">
        <v>27</v>
      </c>
      <c r="P233" s="4" t="s">
        <v>19</v>
      </c>
      <c r="Q233" s="4" t="s">
        <v>67</v>
      </c>
      <c r="R233" s="2" t="s">
        <v>572</v>
      </c>
      <c r="S233" s="4" t="s">
        <v>50</v>
      </c>
      <c r="T233" s="2">
        <v>0.85</v>
      </c>
      <c r="U233" s="3">
        <v>40863</v>
      </c>
    </row>
    <row r="234" spans="1:21">
      <c r="A234" s="2">
        <v>476</v>
      </c>
      <c r="B234" s="2">
        <v>3297</v>
      </c>
      <c r="C234" s="6">
        <v>41215</v>
      </c>
      <c r="D234" s="4" t="s">
        <v>31</v>
      </c>
      <c r="E234" s="2">
        <v>40</v>
      </c>
      <c r="F234" s="5">
        <v>158.69999999999999</v>
      </c>
      <c r="G234" s="5">
        <v>0.04</v>
      </c>
      <c r="H234" s="4" t="s">
        <v>15</v>
      </c>
      <c r="I234" s="5">
        <v>-196.8</v>
      </c>
      <c r="J234" s="2">
        <v>3.75</v>
      </c>
      <c r="K234" s="5">
        <v>7.5</v>
      </c>
      <c r="L234" s="4" t="s">
        <v>573</v>
      </c>
      <c r="M234" s="4" t="s">
        <v>25</v>
      </c>
      <c r="N234" s="4" t="s">
        <v>26</v>
      </c>
      <c r="O234" s="4" t="s">
        <v>60</v>
      </c>
      <c r="P234" s="4" t="s">
        <v>19</v>
      </c>
      <c r="Q234" s="4" t="s">
        <v>75</v>
      </c>
      <c r="R234" s="2" t="s">
        <v>574</v>
      </c>
      <c r="S234" s="4" t="s">
        <v>51</v>
      </c>
      <c r="T234" s="2">
        <v>0.37</v>
      </c>
      <c r="U234" s="3">
        <v>41216</v>
      </c>
    </row>
    <row r="235" spans="1:21">
      <c r="A235" s="2">
        <v>479</v>
      </c>
      <c r="B235" s="2">
        <v>3331</v>
      </c>
      <c r="C235" s="6">
        <v>40318</v>
      </c>
      <c r="D235" s="4" t="s">
        <v>31</v>
      </c>
      <c r="E235" s="2">
        <v>31</v>
      </c>
      <c r="F235" s="5">
        <v>153.28</v>
      </c>
      <c r="G235" s="5">
        <v>0.05</v>
      </c>
      <c r="H235" s="4" t="s">
        <v>15</v>
      </c>
      <c r="I235" s="5">
        <v>73.16</v>
      </c>
      <c r="J235" s="2">
        <v>4.91</v>
      </c>
      <c r="K235" s="5">
        <v>0.5</v>
      </c>
      <c r="L235" s="4" t="s">
        <v>575</v>
      </c>
      <c r="M235" s="4" t="s">
        <v>43</v>
      </c>
      <c r="N235" s="4" t="s">
        <v>44</v>
      </c>
      <c r="O235" s="4" t="s">
        <v>27</v>
      </c>
      <c r="P235" s="4" t="s">
        <v>19</v>
      </c>
      <c r="Q235" s="4" t="s">
        <v>75</v>
      </c>
      <c r="R235" s="2" t="s">
        <v>576</v>
      </c>
      <c r="S235" s="4" t="s">
        <v>51</v>
      </c>
      <c r="T235" s="2">
        <v>0.36</v>
      </c>
      <c r="U235" s="3">
        <v>40319</v>
      </c>
    </row>
    <row r="236" spans="1:21">
      <c r="A236" s="2">
        <v>480</v>
      </c>
      <c r="B236" s="2">
        <v>3332</v>
      </c>
      <c r="C236" s="6">
        <v>40121</v>
      </c>
      <c r="D236" s="4" t="s">
        <v>52</v>
      </c>
      <c r="E236" s="2">
        <v>6</v>
      </c>
      <c r="F236" s="5">
        <v>22.19</v>
      </c>
      <c r="G236" s="5">
        <v>0.01</v>
      </c>
      <c r="H236" s="4" t="s">
        <v>15</v>
      </c>
      <c r="I236" s="5">
        <v>-3.51</v>
      </c>
      <c r="J236" s="2">
        <v>3.26</v>
      </c>
      <c r="K236" s="5">
        <v>1.86</v>
      </c>
      <c r="L236" s="4" t="s">
        <v>577</v>
      </c>
      <c r="M236" s="4" t="s">
        <v>85</v>
      </c>
      <c r="N236" s="4" t="s">
        <v>86</v>
      </c>
      <c r="O236" s="4" t="s">
        <v>27</v>
      </c>
      <c r="P236" s="4" t="s">
        <v>19</v>
      </c>
      <c r="Q236" s="4" t="s">
        <v>48</v>
      </c>
      <c r="R236" s="2" t="s">
        <v>578</v>
      </c>
      <c r="S236" s="4" t="s">
        <v>50</v>
      </c>
      <c r="T236" s="2">
        <v>0.41</v>
      </c>
      <c r="U236" s="3">
        <v>40123</v>
      </c>
    </row>
    <row r="237" spans="1:21">
      <c r="A237" s="2">
        <v>481</v>
      </c>
      <c r="B237" s="2">
        <v>3333</v>
      </c>
      <c r="C237" s="6">
        <v>41167</v>
      </c>
      <c r="D237" s="4" t="s">
        <v>23</v>
      </c>
      <c r="E237" s="2">
        <v>42</v>
      </c>
      <c r="F237" s="5">
        <v>927.97</v>
      </c>
      <c r="G237" s="5">
        <v>0.08</v>
      </c>
      <c r="H237" s="4" t="s">
        <v>15</v>
      </c>
      <c r="I237" s="5">
        <v>162.16999999999999</v>
      </c>
      <c r="J237" s="2">
        <v>22.98</v>
      </c>
      <c r="K237" s="5">
        <v>4.5</v>
      </c>
      <c r="L237" s="4" t="s">
        <v>579</v>
      </c>
      <c r="M237" s="4" t="s">
        <v>57</v>
      </c>
      <c r="N237" s="4" t="s">
        <v>57</v>
      </c>
      <c r="O237" s="4" t="s">
        <v>54</v>
      </c>
      <c r="P237" s="4" t="s">
        <v>19</v>
      </c>
      <c r="Q237" s="4" t="s">
        <v>117</v>
      </c>
      <c r="R237" s="2" t="s">
        <v>580</v>
      </c>
      <c r="S237" s="4" t="s">
        <v>51</v>
      </c>
      <c r="T237" s="2">
        <v>0.55000000000000004</v>
      </c>
      <c r="U237" s="3">
        <v>41169</v>
      </c>
    </row>
    <row r="238" spans="1:21">
      <c r="A238" s="2">
        <v>483</v>
      </c>
      <c r="B238" s="2">
        <v>3361</v>
      </c>
      <c r="C238" s="6">
        <v>41143</v>
      </c>
      <c r="D238" s="4" t="s">
        <v>23</v>
      </c>
      <c r="E238" s="2">
        <v>49</v>
      </c>
      <c r="F238" s="5">
        <v>213.71</v>
      </c>
      <c r="G238" s="5">
        <v>0.06</v>
      </c>
      <c r="H238" s="4" t="s">
        <v>15</v>
      </c>
      <c r="I238" s="5">
        <v>-208.02</v>
      </c>
      <c r="J238" s="2">
        <v>4.28</v>
      </c>
      <c r="K238" s="5">
        <v>6.72</v>
      </c>
      <c r="L238" s="4" t="s">
        <v>581</v>
      </c>
      <c r="M238" s="4" t="s">
        <v>85</v>
      </c>
      <c r="N238" s="4" t="s">
        <v>86</v>
      </c>
      <c r="O238" s="4" t="s">
        <v>27</v>
      </c>
      <c r="P238" s="4" t="s">
        <v>19</v>
      </c>
      <c r="Q238" s="4" t="s">
        <v>78</v>
      </c>
      <c r="R238" s="2" t="s">
        <v>582</v>
      </c>
      <c r="S238" s="4" t="s">
        <v>51</v>
      </c>
      <c r="T238" s="2">
        <v>0.4</v>
      </c>
      <c r="U238" s="3">
        <v>41143</v>
      </c>
    </row>
    <row r="239" spans="1:21">
      <c r="A239" s="2">
        <v>490</v>
      </c>
      <c r="B239" s="2">
        <v>3395</v>
      </c>
      <c r="C239" s="6">
        <v>40115</v>
      </c>
      <c r="D239" s="4" t="s">
        <v>23</v>
      </c>
      <c r="E239" s="2">
        <v>31</v>
      </c>
      <c r="F239" s="5">
        <v>181.17</v>
      </c>
      <c r="G239" s="5">
        <v>0.06</v>
      </c>
      <c r="H239" s="4" t="s">
        <v>64</v>
      </c>
      <c r="I239" s="5">
        <v>-59.88</v>
      </c>
      <c r="J239" s="2">
        <v>5.38</v>
      </c>
      <c r="K239" s="5">
        <v>5.24</v>
      </c>
      <c r="L239" s="4" t="s">
        <v>585</v>
      </c>
      <c r="M239" s="4" t="s">
        <v>47</v>
      </c>
      <c r="N239" s="4" t="s">
        <v>26</v>
      </c>
      <c r="O239" s="4" t="s">
        <v>60</v>
      </c>
      <c r="P239" s="4" t="s">
        <v>19</v>
      </c>
      <c r="Q239" s="4" t="s">
        <v>111</v>
      </c>
      <c r="R239" s="2" t="s">
        <v>586</v>
      </c>
      <c r="S239" s="4" t="s">
        <v>51</v>
      </c>
      <c r="T239" s="2">
        <v>0.36</v>
      </c>
      <c r="U239" s="3">
        <v>40117</v>
      </c>
    </row>
    <row r="240" spans="1:21">
      <c r="A240" s="2">
        <v>494</v>
      </c>
      <c r="B240" s="2">
        <v>3397</v>
      </c>
      <c r="C240" s="6">
        <v>39986</v>
      </c>
      <c r="D240" s="4" t="s">
        <v>72</v>
      </c>
      <c r="E240" s="2">
        <v>43</v>
      </c>
      <c r="F240" s="5">
        <v>815.89</v>
      </c>
      <c r="G240" s="5">
        <v>0.1</v>
      </c>
      <c r="H240" s="4" t="s">
        <v>15</v>
      </c>
      <c r="I240" s="5">
        <v>-20.25</v>
      </c>
      <c r="J240" s="2">
        <v>19.98</v>
      </c>
      <c r="K240" s="5">
        <v>4</v>
      </c>
      <c r="L240" s="4" t="s">
        <v>587</v>
      </c>
      <c r="M240" s="4" t="s">
        <v>85</v>
      </c>
      <c r="N240" s="4" t="s">
        <v>86</v>
      </c>
      <c r="O240" s="4" t="s">
        <v>60</v>
      </c>
      <c r="P240" s="4" t="s">
        <v>40</v>
      </c>
      <c r="Q240" s="4" t="s">
        <v>45</v>
      </c>
      <c r="R240" s="2" t="s">
        <v>588</v>
      </c>
      <c r="S240" s="4" t="s">
        <v>51</v>
      </c>
      <c r="T240" s="2">
        <v>0.68</v>
      </c>
      <c r="U240" s="3">
        <v>39988</v>
      </c>
    </row>
    <row r="241" spans="1:21">
      <c r="A241" s="2">
        <v>497</v>
      </c>
      <c r="B241" s="2">
        <v>3458</v>
      </c>
      <c r="C241" s="6">
        <v>40168</v>
      </c>
      <c r="D241" s="4" t="s">
        <v>31</v>
      </c>
      <c r="E241" s="2">
        <v>41</v>
      </c>
      <c r="F241" s="5">
        <v>627.91</v>
      </c>
      <c r="G241" s="5">
        <v>0.03</v>
      </c>
      <c r="H241" s="4" t="s">
        <v>15</v>
      </c>
      <c r="I241" s="5">
        <v>222.08</v>
      </c>
      <c r="J241" s="2">
        <v>15.28</v>
      </c>
      <c r="K241" s="5">
        <v>1.99</v>
      </c>
      <c r="L241" s="4" t="s">
        <v>589</v>
      </c>
      <c r="M241" s="4" t="s">
        <v>258</v>
      </c>
      <c r="N241" s="4" t="s">
        <v>86</v>
      </c>
      <c r="O241" s="4" t="s">
        <v>27</v>
      </c>
      <c r="P241" s="4" t="s">
        <v>40</v>
      </c>
      <c r="Q241" s="4" t="s">
        <v>45</v>
      </c>
      <c r="R241" s="2" t="s">
        <v>590</v>
      </c>
      <c r="S241" s="4" t="s">
        <v>30</v>
      </c>
      <c r="T241" s="2">
        <v>0.42</v>
      </c>
      <c r="U241" s="3">
        <v>40170</v>
      </c>
    </row>
    <row r="242" spans="1:21">
      <c r="A242" s="2">
        <v>499</v>
      </c>
      <c r="B242" s="2">
        <v>3459</v>
      </c>
      <c r="C242" s="6">
        <v>40021</v>
      </c>
      <c r="D242" s="4" t="s">
        <v>23</v>
      </c>
      <c r="E242" s="2">
        <v>24</v>
      </c>
      <c r="F242" s="5">
        <v>2152.404</v>
      </c>
      <c r="G242" s="5">
        <v>0.1</v>
      </c>
      <c r="H242" s="4" t="s">
        <v>64</v>
      </c>
      <c r="I242" s="5">
        <v>218.87</v>
      </c>
      <c r="J242" s="2">
        <v>110.99</v>
      </c>
      <c r="K242" s="5">
        <v>8.99</v>
      </c>
      <c r="L242" s="4" t="s">
        <v>591</v>
      </c>
      <c r="M242" s="4" t="s">
        <v>70</v>
      </c>
      <c r="N242" s="4" t="s">
        <v>44</v>
      </c>
      <c r="O242" s="4" t="s">
        <v>54</v>
      </c>
      <c r="P242" s="4" t="s">
        <v>40</v>
      </c>
      <c r="Q242" s="4" t="s">
        <v>41</v>
      </c>
      <c r="R242" s="2" t="s">
        <v>592</v>
      </c>
      <c r="S242" s="4" t="s">
        <v>51</v>
      </c>
      <c r="T242" s="2">
        <v>0.56999999999999995</v>
      </c>
      <c r="U242" s="3">
        <v>40023</v>
      </c>
    </row>
    <row r="243" spans="1:21">
      <c r="A243" s="2">
        <v>500</v>
      </c>
      <c r="B243" s="2">
        <v>3460</v>
      </c>
      <c r="C243" s="6">
        <v>40818</v>
      </c>
      <c r="D243" s="4" t="s">
        <v>31</v>
      </c>
      <c r="E243" s="2">
        <v>27</v>
      </c>
      <c r="F243" s="5">
        <v>153.22999999999999</v>
      </c>
      <c r="G243" s="5">
        <v>0.08</v>
      </c>
      <c r="H243" s="4" t="s">
        <v>15</v>
      </c>
      <c r="I243" s="5">
        <v>-95.15</v>
      </c>
      <c r="J243" s="2">
        <v>5.98</v>
      </c>
      <c r="K243" s="5">
        <v>4.6900000000000004</v>
      </c>
      <c r="L243" s="4" t="s">
        <v>593</v>
      </c>
      <c r="M243" s="4" t="s">
        <v>57</v>
      </c>
      <c r="N243" s="4" t="s">
        <v>57</v>
      </c>
      <c r="O243" s="4" t="s">
        <v>60</v>
      </c>
      <c r="P243" s="4" t="s">
        <v>19</v>
      </c>
      <c r="Q243" s="4" t="s">
        <v>20</v>
      </c>
      <c r="R243" s="2" t="s">
        <v>594</v>
      </c>
      <c r="S243" s="4" t="s">
        <v>51</v>
      </c>
      <c r="T243" s="2">
        <v>0.68</v>
      </c>
      <c r="U243" s="3">
        <v>40820</v>
      </c>
    </row>
    <row r="244" spans="1:21">
      <c r="A244" s="2">
        <v>501</v>
      </c>
      <c r="B244" s="2">
        <v>3461</v>
      </c>
      <c r="C244" s="6">
        <v>40208</v>
      </c>
      <c r="D244" s="4" t="s">
        <v>52</v>
      </c>
      <c r="E244" s="2">
        <v>47</v>
      </c>
      <c r="F244" s="5">
        <v>2053.3789999999999</v>
      </c>
      <c r="G244" s="5">
        <v>0.1</v>
      </c>
      <c r="H244" s="4" t="s">
        <v>15</v>
      </c>
      <c r="I244" s="5">
        <v>1040.4000000000001</v>
      </c>
      <c r="J244" s="2">
        <v>55.99</v>
      </c>
      <c r="K244" s="5">
        <v>1.25</v>
      </c>
      <c r="L244" s="4" t="s">
        <v>595</v>
      </c>
      <c r="M244" s="4" t="s">
        <v>43</v>
      </c>
      <c r="N244" s="4" t="s">
        <v>44</v>
      </c>
      <c r="O244" s="4" t="s">
        <v>54</v>
      </c>
      <c r="P244" s="4" t="s">
        <v>40</v>
      </c>
      <c r="Q244" s="4" t="s">
        <v>41</v>
      </c>
      <c r="R244" s="2" t="s">
        <v>596</v>
      </c>
      <c r="S244" s="4" t="s">
        <v>30</v>
      </c>
      <c r="T244" s="2">
        <v>0.35</v>
      </c>
      <c r="U244" s="3">
        <v>40210</v>
      </c>
    </row>
    <row r="245" spans="1:21">
      <c r="A245" s="2">
        <v>504</v>
      </c>
      <c r="B245" s="2">
        <v>3488</v>
      </c>
      <c r="C245" s="6">
        <v>40550</v>
      </c>
      <c r="D245" s="4" t="s">
        <v>72</v>
      </c>
      <c r="E245" s="2">
        <v>39</v>
      </c>
      <c r="F245" s="5">
        <v>4669.1899999999996</v>
      </c>
      <c r="G245" s="5">
        <v>0.06</v>
      </c>
      <c r="H245" s="4" t="s">
        <v>37</v>
      </c>
      <c r="I245" s="5">
        <v>-1864.08</v>
      </c>
      <c r="J245" s="2">
        <v>122.99</v>
      </c>
      <c r="K245" s="5">
        <v>70.2</v>
      </c>
      <c r="L245" s="4" t="s">
        <v>598</v>
      </c>
      <c r="M245" s="4" t="s">
        <v>70</v>
      </c>
      <c r="N245" s="4" t="s">
        <v>44</v>
      </c>
      <c r="O245" s="4" t="s">
        <v>54</v>
      </c>
      <c r="P245" s="4" t="s">
        <v>33</v>
      </c>
      <c r="Q245" s="4" t="s">
        <v>172</v>
      </c>
      <c r="R245" s="2" t="s">
        <v>599</v>
      </c>
      <c r="S245" s="4" t="s">
        <v>121</v>
      </c>
      <c r="T245" s="2">
        <v>0.74</v>
      </c>
      <c r="U245" s="3">
        <v>40553</v>
      </c>
    </row>
    <row r="246" spans="1:21">
      <c r="A246" s="2">
        <v>506</v>
      </c>
      <c r="B246" s="2">
        <v>3492</v>
      </c>
      <c r="C246" s="6">
        <v>40140</v>
      </c>
      <c r="D246" s="4" t="s">
        <v>14</v>
      </c>
      <c r="E246" s="2">
        <v>35</v>
      </c>
      <c r="F246" s="5">
        <v>2393.63</v>
      </c>
      <c r="G246" s="5">
        <v>0.04</v>
      </c>
      <c r="H246" s="4" t="s">
        <v>15</v>
      </c>
      <c r="I246" s="5">
        <v>524.88</v>
      </c>
      <c r="J246" s="2">
        <v>67.28</v>
      </c>
      <c r="K246" s="5">
        <v>19.989999999999998</v>
      </c>
      <c r="L246" s="4" t="s">
        <v>600</v>
      </c>
      <c r="M246" s="4" t="s">
        <v>70</v>
      </c>
      <c r="N246" s="4" t="s">
        <v>44</v>
      </c>
      <c r="O246" s="4" t="s">
        <v>27</v>
      </c>
      <c r="P246" s="4" t="s">
        <v>19</v>
      </c>
      <c r="Q246" s="4" t="s">
        <v>111</v>
      </c>
      <c r="R246" s="2" t="s">
        <v>601</v>
      </c>
      <c r="S246" s="4" t="s">
        <v>51</v>
      </c>
      <c r="T246" s="2">
        <v>0.4</v>
      </c>
      <c r="U246" s="3">
        <v>40145</v>
      </c>
    </row>
    <row r="247" spans="1:21">
      <c r="A247" s="2">
        <v>510</v>
      </c>
      <c r="B247" s="2">
        <v>3521</v>
      </c>
      <c r="C247" s="6">
        <v>41207</v>
      </c>
      <c r="D247" s="4" t="s">
        <v>14</v>
      </c>
      <c r="E247" s="2">
        <v>50</v>
      </c>
      <c r="F247" s="5">
        <v>204.11</v>
      </c>
      <c r="G247" s="5">
        <v>0.06</v>
      </c>
      <c r="H247" s="4" t="s">
        <v>15</v>
      </c>
      <c r="I247" s="5">
        <v>28.71</v>
      </c>
      <c r="J247" s="2">
        <v>4.28</v>
      </c>
      <c r="K247" s="5">
        <v>0.94</v>
      </c>
      <c r="L247" s="4" t="s">
        <v>602</v>
      </c>
      <c r="M247" s="4" t="s">
        <v>199</v>
      </c>
      <c r="N247" s="4" t="s">
        <v>86</v>
      </c>
      <c r="O247" s="4" t="s">
        <v>54</v>
      </c>
      <c r="P247" s="4" t="s">
        <v>19</v>
      </c>
      <c r="Q247" s="4" t="s">
        <v>48</v>
      </c>
      <c r="R247" s="2" t="s">
        <v>447</v>
      </c>
      <c r="S247" s="4" t="s">
        <v>50</v>
      </c>
      <c r="T247" s="2">
        <v>0.56000000000000005</v>
      </c>
      <c r="U247" s="3">
        <v>41209</v>
      </c>
    </row>
    <row r="248" spans="1:21">
      <c r="A248" s="2">
        <v>513</v>
      </c>
      <c r="B248" s="2">
        <v>3524</v>
      </c>
      <c r="C248" s="6">
        <v>41031</v>
      </c>
      <c r="D248" s="4" t="s">
        <v>31</v>
      </c>
      <c r="E248" s="2">
        <v>21</v>
      </c>
      <c r="F248" s="5">
        <v>427.32</v>
      </c>
      <c r="G248" s="5">
        <v>0</v>
      </c>
      <c r="H248" s="4" t="s">
        <v>15</v>
      </c>
      <c r="I248" s="5">
        <v>52.35</v>
      </c>
      <c r="J248" s="2">
        <v>18.97</v>
      </c>
      <c r="K248" s="5">
        <v>9.0299999999999994</v>
      </c>
      <c r="L248" s="4" t="s">
        <v>604</v>
      </c>
      <c r="M248" s="4" t="s">
        <v>17</v>
      </c>
      <c r="N248" s="4" t="s">
        <v>17</v>
      </c>
      <c r="O248" s="4" t="s">
        <v>18</v>
      </c>
      <c r="P248" s="4" t="s">
        <v>19</v>
      </c>
      <c r="Q248" s="4" t="s">
        <v>78</v>
      </c>
      <c r="R248" s="2" t="s">
        <v>83</v>
      </c>
      <c r="S248" s="4" t="s">
        <v>51</v>
      </c>
      <c r="T248" s="2">
        <v>0.37</v>
      </c>
      <c r="U248" s="3">
        <v>41032</v>
      </c>
    </row>
    <row r="249" spans="1:21">
      <c r="A249" s="2">
        <v>515</v>
      </c>
      <c r="B249" s="2">
        <v>3526</v>
      </c>
      <c r="C249" s="6">
        <v>40617</v>
      </c>
      <c r="D249" s="4" t="s">
        <v>14</v>
      </c>
      <c r="E249" s="2">
        <v>20</v>
      </c>
      <c r="F249" s="5">
        <v>246.06</v>
      </c>
      <c r="G249" s="5">
        <v>0.08</v>
      </c>
      <c r="H249" s="4" t="s">
        <v>15</v>
      </c>
      <c r="I249" s="5">
        <v>20.67</v>
      </c>
      <c r="J249" s="2">
        <v>12.07</v>
      </c>
      <c r="K249" s="5">
        <v>6.2</v>
      </c>
      <c r="L249" s="4" t="s">
        <v>605</v>
      </c>
      <c r="M249" s="4" t="s">
        <v>74</v>
      </c>
      <c r="N249" s="4" t="s">
        <v>74</v>
      </c>
      <c r="O249" s="4" t="s">
        <v>18</v>
      </c>
      <c r="P249" s="4" t="s">
        <v>33</v>
      </c>
      <c r="Q249" s="4" t="s">
        <v>34</v>
      </c>
      <c r="R249" s="2" t="s">
        <v>606</v>
      </c>
      <c r="S249" s="4" t="s">
        <v>50</v>
      </c>
      <c r="T249" s="2">
        <v>0.52</v>
      </c>
      <c r="U249" s="3">
        <v>40619</v>
      </c>
    </row>
    <row r="250" spans="1:21">
      <c r="A250" s="2">
        <v>517</v>
      </c>
      <c r="B250" s="2">
        <v>3554</v>
      </c>
      <c r="C250" s="6">
        <v>40710</v>
      </c>
      <c r="D250" s="4" t="s">
        <v>14</v>
      </c>
      <c r="E250" s="2">
        <v>25</v>
      </c>
      <c r="F250" s="5">
        <v>288.91000000000003</v>
      </c>
      <c r="G250" s="5">
        <v>0.08</v>
      </c>
      <c r="H250" s="4" t="s">
        <v>15</v>
      </c>
      <c r="I250" s="5">
        <v>-14.06</v>
      </c>
      <c r="J250" s="2">
        <v>12.28</v>
      </c>
      <c r="K250" s="5">
        <v>6.47</v>
      </c>
      <c r="L250" s="4" t="s">
        <v>607</v>
      </c>
      <c r="M250" s="4" t="s">
        <v>43</v>
      </c>
      <c r="N250" s="4" t="s">
        <v>44</v>
      </c>
      <c r="O250" s="4" t="s">
        <v>27</v>
      </c>
      <c r="P250" s="4" t="s">
        <v>19</v>
      </c>
      <c r="Q250" s="4" t="s">
        <v>78</v>
      </c>
      <c r="R250" s="2" t="s">
        <v>608</v>
      </c>
      <c r="S250" s="4" t="s">
        <v>51</v>
      </c>
      <c r="T250" s="2">
        <v>0.38</v>
      </c>
      <c r="U250" s="3">
        <v>40719</v>
      </c>
    </row>
    <row r="251" spans="1:21">
      <c r="A251" s="2">
        <v>520</v>
      </c>
      <c r="B251" s="2">
        <v>3559</v>
      </c>
      <c r="C251" s="6">
        <v>41205</v>
      </c>
      <c r="D251" s="4" t="s">
        <v>72</v>
      </c>
      <c r="E251" s="2">
        <v>34</v>
      </c>
      <c r="F251" s="5">
        <v>136.66999999999999</v>
      </c>
      <c r="G251" s="5">
        <v>7.0000000000000007E-2</v>
      </c>
      <c r="H251" s="4" t="s">
        <v>64</v>
      </c>
      <c r="I251" s="5">
        <v>-117.92</v>
      </c>
      <c r="J251" s="2">
        <v>3.81</v>
      </c>
      <c r="K251" s="5">
        <v>5.44</v>
      </c>
      <c r="L251" s="4" t="s">
        <v>609</v>
      </c>
      <c r="M251" s="4" t="s">
        <v>66</v>
      </c>
      <c r="N251" s="4" t="s">
        <v>66</v>
      </c>
      <c r="O251" s="4" t="s">
        <v>27</v>
      </c>
      <c r="P251" s="4" t="s">
        <v>19</v>
      </c>
      <c r="Q251" s="4" t="s">
        <v>111</v>
      </c>
      <c r="R251" s="2" t="s">
        <v>610</v>
      </c>
      <c r="S251" s="4" t="s">
        <v>51</v>
      </c>
      <c r="T251" s="2">
        <v>0.36</v>
      </c>
      <c r="U251" s="3">
        <v>41206</v>
      </c>
    </row>
    <row r="252" spans="1:21">
      <c r="A252" s="2">
        <v>521</v>
      </c>
      <c r="B252" s="2">
        <v>3585</v>
      </c>
      <c r="C252" s="6">
        <v>40139</v>
      </c>
      <c r="D252" s="4" t="s">
        <v>31</v>
      </c>
      <c r="E252" s="2">
        <v>27</v>
      </c>
      <c r="F252" s="5">
        <v>259.72000000000003</v>
      </c>
      <c r="G252" s="5">
        <v>7.0000000000000007E-2</v>
      </c>
      <c r="H252" s="4" t="s">
        <v>15</v>
      </c>
      <c r="I252" s="5">
        <v>78.05</v>
      </c>
      <c r="J252" s="2">
        <v>10.06</v>
      </c>
      <c r="K252" s="5">
        <v>2.06</v>
      </c>
      <c r="L252" s="4" t="s">
        <v>611</v>
      </c>
      <c r="M252" s="4" t="s">
        <v>57</v>
      </c>
      <c r="N252" s="4" t="s">
        <v>57</v>
      </c>
      <c r="O252" s="4" t="s">
        <v>27</v>
      </c>
      <c r="P252" s="4" t="s">
        <v>19</v>
      </c>
      <c r="Q252" s="4" t="s">
        <v>78</v>
      </c>
      <c r="R252" s="2" t="s">
        <v>612</v>
      </c>
      <c r="S252" s="4" t="s">
        <v>50</v>
      </c>
      <c r="T252" s="2">
        <v>0.39</v>
      </c>
      <c r="U252" s="3">
        <v>40139</v>
      </c>
    </row>
    <row r="253" spans="1:21">
      <c r="A253" s="2">
        <v>523</v>
      </c>
      <c r="B253" s="2">
        <v>3586</v>
      </c>
      <c r="C253" s="6">
        <v>40516</v>
      </c>
      <c r="D253" s="4" t="s">
        <v>31</v>
      </c>
      <c r="E253" s="2">
        <v>32</v>
      </c>
      <c r="F253" s="5">
        <v>383.57</v>
      </c>
      <c r="G253" s="5">
        <v>0.06</v>
      </c>
      <c r="H253" s="4" t="s">
        <v>15</v>
      </c>
      <c r="I253" s="5">
        <v>70.510000000000005</v>
      </c>
      <c r="J253" s="2">
        <v>12.58</v>
      </c>
      <c r="K253" s="5">
        <v>5.16</v>
      </c>
      <c r="L253" s="4" t="s">
        <v>613</v>
      </c>
      <c r="M253" s="4" t="s">
        <v>66</v>
      </c>
      <c r="N253" s="4" t="s">
        <v>66</v>
      </c>
      <c r="O253" s="4" t="s">
        <v>54</v>
      </c>
      <c r="P253" s="4" t="s">
        <v>33</v>
      </c>
      <c r="Q253" s="4" t="s">
        <v>34</v>
      </c>
      <c r="R253" s="2" t="s">
        <v>614</v>
      </c>
      <c r="S253" s="4" t="s">
        <v>51</v>
      </c>
      <c r="T253" s="2">
        <v>0.43</v>
      </c>
      <c r="U253" s="3">
        <v>40517</v>
      </c>
    </row>
    <row r="254" spans="1:21">
      <c r="A254" s="2">
        <v>529</v>
      </c>
      <c r="B254" s="2">
        <v>3589</v>
      </c>
      <c r="C254" s="6">
        <v>39958</v>
      </c>
      <c r="D254" s="4" t="s">
        <v>31</v>
      </c>
      <c r="E254" s="2">
        <v>23</v>
      </c>
      <c r="F254" s="5">
        <v>72.930000000000007</v>
      </c>
      <c r="G254" s="5">
        <v>0.01</v>
      </c>
      <c r="H254" s="4" t="s">
        <v>15</v>
      </c>
      <c r="I254" s="5">
        <v>28.55</v>
      </c>
      <c r="J254" s="2">
        <v>3.15</v>
      </c>
      <c r="K254" s="5">
        <v>0.49</v>
      </c>
      <c r="L254" s="4" t="s">
        <v>618</v>
      </c>
      <c r="M254" s="4" t="s">
        <v>85</v>
      </c>
      <c r="N254" s="4" t="s">
        <v>86</v>
      </c>
      <c r="O254" s="4" t="s">
        <v>54</v>
      </c>
      <c r="P254" s="4" t="s">
        <v>19</v>
      </c>
      <c r="Q254" s="4" t="s">
        <v>75</v>
      </c>
      <c r="R254" s="2" t="s">
        <v>619</v>
      </c>
      <c r="S254" s="4" t="s">
        <v>51</v>
      </c>
      <c r="T254" s="2">
        <v>0.37</v>
      </c>
      <c r="U254" s="3">
        <v>39960</v>
      </c>
    </row>
    <row r="255" spans="1:21">
      <c r="A255" s="2">
        <v>530</v>
      </c>
      <c r="B255" s="2">
        <v>3591</v>
      </c>
      <c r="C255" s="6">
        <v>40519</v>
      </c>
      <c r="D255" s="4" t="s">
        <v>72</v>
      </c>
      <c r="E255" s="2">
        <v>3</v>
      </c>
      <c r="F255" s="5">
        <v>321.57</v>
      </c>
      <c r="G255" s="5">
        <v>0.01</v>
      </c>
      <c r="H255" s="4" t="s">
        <v>37</v>
      </c>
      <c r="I255" s="5">
        <v>-100.05</v>
      </c>
      <c r="J255" s="2">
        <v>100.98</v>
      </c>
      <c r="K255" s="5">
        <v>15.66</v>
      </c>
      <c r="L255" s="4" t="s">
        <v>620</v>
      </c>
      <c r="M255" s="4" t="s">
        <v>57</v>
      </c>
      <c r="N255" s="4" t="s">
        <v>57</v>
      </c>
      <c r="O255" s="4" t="s">
        <v>18</v>
      </c>
      <c r="P255" s="4" t="s">
        <v>19</v>
      </c>
      <c r="Q255" s="4" t="s">
        <v>117</v>
      </c>
      <c r="R255" s="2" t="s">
        <v>621</v>
      </c>
      <c r="S255" s="4" t="s">
        <v>121</v>
      </c>
      <c r="T255" s="2">
        <v>0.56999999999999995</v>
      </c>
      <c r="U255" s="3">
        <v>40521</v>
      </c>
    </row>
    <row r="256" spans="1:21">
      <c r="A256" s="2">
        <v>533</v>
      </c>
      <c r="B256" s="2">
        <v>3622</v>
      </c>
      <c r="C256" s="6">
        <v>40873</v>
      </c>
      <c r="D256" s="4" t="s">
        <v>14</v>
      </c>
      <c r="E256" s="2">
        <v>16</v>
      </c>
      <c r="F256" s="5">
        <v>76.599999999999994</v>
      </c>
      <c r="G256" s="5">
        <v>0.01</v>
      </c>
      <c r="H256" s="4" t="s">
        <v>15</v>
      </c>
      <c r="I256" s="5">
        <v>-48.51</v>
      </c>
      <c r="J256" s="2">
        <v>4.24</v>
      </c>
      <c r="K256" s="5">
        <v>5.41</v>
      </c>
      <c r="L256" s="4" t="s">
        <v>624</v>
      </c>
      <c r="M256" s="4" t="s">
        <v>70</v>
      </c>
      <c r="N256" s="4" t="s">
        <v>44</v>
      </c>
      <c r="O256" s="4" t="s">
        <v>60</v>
      </c>
      <c r="P256" s="4" t="s">
        <v>19</v>
      </c>
      <c r="Q256" s="4" t="s">
        <v>111</v>
      </c>
      <c r="R256" s="2" t="s">
        <v>306</v>
      </c>
      <c r="S256" s="4" t="s">
        <v>51</v>
      </c>
      <c r="T256" s="2">
        <v>0.35</v>
      </c>
      <c r="U256" s="3">
        <v>40878</v>
      </c>
    </row>
    <row r="257" spans="1:21">
      <c r="A257" s="2">
        <v>540</v>
      </c>
      <c r="B257" s="2">
        <v>3653</v>
      </c>
      <c r="C257" s="6">
        <v>39898</v>
      </c>
      <c r="D257" s="4" t="s">
        <v>52</v>
      </c>
      <c r="E257" s="2">
        <v>41</v>
      </c>
      <c r="F257" s="5">
        <v>271.11</v>
      </c>
      <c r="G257" s="5">
        <v>0.08</v>
      </c>
      <c r="H257" s="4" t="s">
        <v>15</v>
      </c>
      <c r="I257" s="5">
        <v>64.790000000000006</v>
      </c>
      <c r="J257" s="2">
        <v>6.68</v>
      </c>
      <c r="K257" s="5">
        <v>1.5</v>
      </c>
      <c r="L257" s="4" t="s">
        <v>626</v>
      </c>
      <c r="M257" s="4" t="s">
        <v>258</v>
      </c>
      <c r="N257" s="4" t="s">
        <v>86</v>
      </c>
      <c r="O257" s="4" t="s">
        <v>27</v>
      </c>
      <c r="P257" s="4" t="s">
        <v>19</v>
      </c>
      <c r="Q257" s="4" t="s">
        <v>48</v>
      </c>
      <c r="R257" s="2" t="s">
        <v>627</v>
      </c>
      <c r="S257" s="4" t="s">
        <v>50</v>
      </c>
      <c r="T257" s="2">
        <v>0.48</v>
      </c>
      <c r="U257" s="3">
        <v>39900</v>
      </c>
    </row>
    <row r="258" spans="1:21">
      <c r="A258" s="2">
        <v>546</v>
      </c>
      <c r="B258" s="2">
        <v>3680</v>
      </c>
      <c r="C258" s="6">
        <v>41252</v>
      </c>
      <c r="D258" s="4" t="s">
        <v>23</v>
      </c>
      <c r="E258" s="2">
        <v>27</v>
      </c>
      <c r="F258" s="5">
        <v>177.95</v>
      </c>
      <c r="G258" s="5">
        <v>0.09</v>
      </c>
      <c r="H258" s="4" t="s">
        <v>15</v>
      </c>
      <c r="I258" s="5">
        <v>-61.75</v>
      </c>
      <c r="J258" s="2">
        <v>6.48</v>
      </c>
      <c r="K258" s="5">
        <v>6</v>
      </c>
      <c r="L258" s="4" t="s">
        <v>628</v>
      </c>
      <c r="M258" s="4" t="s">
        <v>85</v>
      </c>
      <c r="N258" s="4" t="s">
        <v>86</v>
      </c>
      <c r="O258" s="4" t="s">
        <v>27</v>
      </c>
      <c r="P258" s="4" t="s">
        <v>19</v>
      </c>
      <c r="Q258" s="4" t="s">
        <v>78</v>
      </c>
      <c r="R258" s="2" t="s">
        <v>629</v>
      </c>
      <c r="S258" s="4" t="s">
        <v>51</v>
      </c>
      <c r="T258" s="2">
        <v>0.37</v>
      </c>
      <c r="U258" s="3">
        <v>41254</v>
      </c>
    </row>
    <row r="259" spans="1:21">
      <c r="A259" s="2">
        <v>549</v>
      </c>
      <c r="B259" s="2">
        <v>3687</v>
      </c>
      <c r="C259" s="6">
        <v>40211</v>
      </c>
      <c r="D259" s="4" t="s">
        <v>52</v>
      </c>
      <c r="E259" s="2">
        <v>25</v>
      </c>
      <c r="F259" s="5">
        <v>79.37</v>
      </c>
      <c r="G259" s="5">
        <v>7.0000000000000007E-2</v>
      </c>
      <c r="H259" s="4" t="s">
        <v>15</v>
      </c>
      <c r="I259" s="5">
        <v>6.14</v>
      </c>
      <c r="J259" s="2">
        <v>3.29</v>
      </c>
      <c r="K259" s="5">
        <v>1.35</v>
      </c>
      <c r="L259" s="4" t="s">
        <v>630</v>
      </c>
      <c r="M259" s="4" t="s">
        <v>47</v>
      </c>
      <c r="N259" s="4" t="s">
        <v>26</v>
      </c>
      <c r="O259" s="4" t="s">
        <v>54</v>
      </c>
      <c r="P259" s="4" t="s">
        <v>19</v>
      </c>
      <c r="Q259" s="4" t="s">
        <v>67</v>
      </c>
      <c r="R259" s="2" t="s">
        <v>631</v>
      </c>
      <c r="S259" s="4" t="s">
        <v>50</v>
      </c>
      <c r="T259" s="2">
        <v>0.4</v>
      </c>
      <c r="U259" s="3">
        <v>40211</v>
      </c>
    </row>
    <row r="260" spans="1:21">
      <c r="A260" s="2">
        <v>550</v>
      </c>
      <c r="B260" s="2">
        <v>3745</v>
      </c>
      <c r="C260" s="6">
        <v>40449</v>
      </c>
      <c r="D260" s="4" t="s">
        <v>14</v>
      </c>
      <c r="E260" s="2">
        <v>38</v>
      </c>
      <c r="F260" s="5">
        <v>1143.3499999999999</v>
      </c>
      <c r="G260" s="5">
        <v>0.04</v>
      </c>
      <c r="H260" s="4" t="s">
        <v>64</v>
      </c>
      <c r="I260" s="5">
        <v>411.1</v>
      </c>
      <c r="J260" s="2">
        <v>29.18</v>
      </c>
      <c r="K260" s="5">
        <v>8.5500000000000007</v>
      </c>
      <c r="L260" s="4" t="s">
        <v>632</v>
      </c>
      <c r="M260" s="4" t="s">
        <v>57</v>
      </c>
      <c r="N260" s="4" t="s">
        <v>57</v>
      </c>
      <c r="O260" s="4" t="s">
        <v>54</v>
      </c>
      <c r="P260" s="4" t="s">
        <v>33</v>
      </c>
      <c r="Q260" s="4" t="s">
        <v>34</v>
      </c>
      <c r="R260" s="2" t="s">
        <v>633</v>
      </c>
      <c r="S260" s="4" t="s">
        <v>51</v>
      </c>
      <c r="T260" s="2">
        <v>0.42</v>
      </c>
      <c r="U260" s="3">
        <v>40451</v>
      </c>
    </row>
    <row r="261" spans="1:21">
      <c r="A261" s="2">
        <v>551</v>
      </c>
      <c r="B261" s="2">
        <v>3746</v>
      </c>
      <c r="C261" s="6">
        <v>40066</v>
      </c>
      <c r="D261" s="4" t="s">
        <v>23</v>
      </c>
      <c r="E261" s="2">
        <v>14</v>
      </c>
      <c r="F261" s="5">
        <v>1463.0965000000001</v>
      </c>
      <c r="G261" s="5">
        <v>0</v>
      </c>
      <c r="H261" s="4" t="s">
        <v>15</v>
      </c>
      <c r="I261" s="5">
        <v>162.66999999999999</v>
      </c>
      <c r="J261" s="2">
        <v>115.99</v>
      </c>
      <c r="K261" s="5">
        <v>2.5</v>
      </c>
      <c r="L261" s="4" t="s">
        <v>634</v>
      </c>
      <c r="M261" s="4" t="s">
        <v>25</v>
      </c>
      <c r="N261" s="4" t="s">
        <v>26</v>
      </c>
      <c r="O261" s="4" t="s">
        <v>27</v>
      </c>
      <c r="P261" s="4" t="s">
        <v>40</v>
      </c>
      <c r="Q261" s="4" t="s">
        <v>41</v>
      </c>
      <c r="R261" s="2">
        <v>6160</v>
      </c>
      <c r="S261" s="4" t="s">
        <v>51</v>
      </c>
      <c r="T261" s="2">
        <v>0.56999999999999995</v>
      </c>
      <c r="U261" s="3">
        <v>40066</v>
      </c>
    </row>
    <row r="262" spans="1:21">
      <c r="A262" s="2">
        <v>553</v>
      </c>
      <c r="B262" s="2">
        <v>3749</v>
      </c>
      <c r="C262" s="6">
        <v>40597</v>
      </c>
      <c r="D262" s="4" t="s">
        <v>72</v>
      </c>
      <c r="E262" s="2">
        <v>27</v>
      </c>
      <c r="F262" s="5">
        <v>353.62</v>
      </c>
      <c r="G262" s="5">
        <v>0.01</v>
      </c>
      <c r="H262" s="4" t="s">
        <v>15</v>
      </c>
      <c r="I262" s="5">
        <v>140.15</v>
      </c>
      <c r="J262" s="2">
        <v>12.97</v>
      </c>
      <c r="K262" s="5">
        <v>1.49</v>
      </c>
      <c r="L262" s="4" t="s">
        <v>635</v>
      </c>
      <c r="M262" s="4" t="s">
        <v>70</v>
      </c>
      <c r="N262" s="4" t="s">
        <v>44</v>
      </c>
      <c r="O262" s="4" t="s">
        <v>60</v>
      </c>
      <c r="P262" s="4" t="s">
        <v>19</v>
      </c>
      <c r="Q262" s="4" t="s">
        <v>111</v>
      </c>
      <c r="R262" s="2" t="s">
        <v>636</v>
      </c>
      <c r="S262" s="4" t="s">
        <v>51</v>
      </c>
      <c r="T262" s="2">
        <v>0.35</v>
      </c>
      <c r="U262" s="3">
        <v>40599</v>
      </c>
    </row>
    <row r="263" spans="1:21">
      <c r="A263" s="2">
        <v>556</v>
      </c>
      <c r="B263" s="2">
        <v>3778</v>
      </c>
      <c r="C263" s="6">
        <v>40323</v>
      </c>
      <c r="D263" s="4" t="s">
        <v>52</v>
      </c>
      <c r="E263" s="2">
        <v>34</v>
      </c>
      <c r="F263" s="5">
        <v>268.08999999999997</v>
      </c>
      <c r="G263" s="5">
        <v>7.0000000000000007E-2</v>
      </c>
      <c r="H263" s="4" t="s">
        <v>15</v>
      </c>
      <c r="I263" s="5">
        <v>-63.76</v>
      </c>
      <c r="J263" s="2">
        <v>8.32</v>
      </c>
      <c r="K263" s="5">
        <v>2.38</v>
      </c>
      <c r="L263" s="4" t="s">
        <v>637</v>
      </c>
      <c r="M263" s="4" t="s">
        <v>66</v>
      </c>
      <c r="N263" s="4" t="s">
        <v>66</v>
      </c>
      <c r="O263" s="4" t="s">
        <v>54</v>
      </c>
      <c r="P263" s="4" t="s">
        <v>40</v>
      </c>
      <c r="Q263" s="4" t="s">
        <v>45</v>
      </c>
      <c r="R263" s="2" t="s">
        <v>638</v>
      </c>
      <c r="S263" s="4" t="s">
        <v>30</v>
      </c>
      <c r="T263" s="2">
        <v>0.74</v>
      </c>
      <c r="U263" s="3">
        <v>40325</v>
      </c>
    </row>
    <row r="264" spans="1:21">
      <c r="A264" s="2">
        <v>565</v>
      </c>
      <c r="B264" s="2">
        <v>3814</v>
      </c>
      <c r="C264" s="6">
        <v>40595</v>
      </c>
      <c r="D264" s="4" t="s">
        <v>14</v>
      </c>
      <c r="E264" s="2">
        <v>43</v>
      </c>
      <c r="F264" s="5">
        <v>1225.4100000000001</v>
      </c>
      <c r="G264" s="5">
        <v>0.04</v>
      </c>
      <c r="H264" s="4" t="s">
        <v>64</v>
      </c>
      <c r="I264" s="5">
        <v>-138.02000000000001</v>
      </c>
      <c r="J264" s="2">
        <v>28.28</v>
      </c>
      <c r="K264" s="5">
        <v>13.99</v>
      </c>
      <c r="L264" s="4" t="s">
        <v>640</v>
      </c>
      <c r="M264" s="4" t="s">
        <v>74</v>
      </c>
      <c r="N264" s="4" t="s">
        <v>74</v>
      </c>
      <c r="O264" s="4" t="s">
        <v>60</v>
      </c>
      <c r="P264" s="4" t="s">
        <v>19</v>
      </c>
      <c r="Q264" s="4" t="s">
        <v>20</v>
      </c>
      <c r="R264" s="2" t="s">
        <v>641</v>
      </c>
      <c r="S264" s="4" t="s">
        <v>36</v>
      </c>
      <c r="T264" s="2">
        <v>0.57999999999999996</v>
      </c>
      <c r="U264" s="3">
        <v>40601</v>
      </c>
    </row>
    <row r="265" spans="1:21">
      <c r="A265" s="2">
        <v>579</v>
      </c>
      <c r="B265" s="2">
        <v>3942</v>
      </c>
      <c r="C265" s="6">
        <v>40356</v>
      </c>
      <c r="D265" s="4" t="s">
        <v>23</v>
      </c>
      <c r="E265" s="2">
        <v>11</v>
      </c>
      <c r="F265" s="5">
        <v>225.14</v>
      </c>
      <c r="G265" s="5">
        <v>0.08</v>
      </c>
      <c r="H265" s="4" t="s">
        <v>15</v>
      </c>
      <c r="I265" s="5">
        <v>-42.61</v>
      </c>
      <c r="J265" s="2">
        <v>20.149999999999999</v>
      </c>
      <c r="K265" s="5">
        <v>8.99</v>
      </c>
      <c r="L265" s="4" t="s">
        <v>645</v>
      </c>
      <c r="M265" s="4" t="s">
        <v>85</v>
      </c>
      <c r="N265" s="4" t="s">
        <v>86</v>
      </c>
      <c r="O265" s="4" t="s">
        <v>18</v>
      </c>
      <c r="P265" s="4" t="s">
        <v>19</v>
      </c>
      <c r="Q265" s="4" t="s">
        <v>48</v>
      </c>
      <c r="R265" s="2" t="s">
        <v>646</v>
      </c>
      <c r="S265" s="4" t="s">
        <v>30</v>
      </c>
      <c r="T265" s="2">
        <v>0.57999999999999996</v>
      </c>
      <c r="U265" s="3">
        <v>40357</v>
      </c>
    </row>
    <row r="266" spans="1:21">
      <c r="A266" s="2">
        <v>587</v>
      </c>
      <c r="B266" s="2">
        <v>4007</v>
      </c>
      <c r="C266" s="6">
        <v>40346</v>
      </c>
      <c r="D266" s="4" t="s">
        <v>31</v>
      </c>
      <c r="E266" s="2">
        <v>18</v>
      </c>
      <c r="F266" s="5">
        <v>1038.4000000000001</v>
      </c>
      <c r="G266" s="5">
        <v>0.01</v>
      </c>
      <c r="H266" s="4" t="s">
        <v>15</v>
      </c>
      <c r="I266" s="5">
        <v>112.36</v>
      </c>
      <c r="J266" s="2">
        <v>56.96</v>
      </c>
      <c r="K266" s="5">
        <v>13.22</v>
      </c>
      <c r="L266" s="4" t="s">
        <v>649</v>
      </c>
      <c r="M266" s="4" t="s">
        <v>199</v>
      </c>
      <c r="N266" s="4" t="s">
        <v>86</v>
      </c>
      <c r="O266" s="4" t="s">
        <v>27</v>
      </c>
      <c r="P266" s="4" t="s">
        <v>19</v>
      </c>
      <c r="Q266" s="4" t="s">
        <v>117</v>
      </c>
      <c r="R266" s="2" t="s">
        <v>650</v>
      </c>
      <c r="S266" s="4" t="s">
        <v>51</v>
      </c>
      <c r="T266" s="2">
        <v>0.56000000000000005</v>
      </c>
      <c r="U266" s="3">
        <v>40347</v>
      </c>
    </row>
    <row r="267" spans="1:21">
      <c r="A267" s="2">
        <v>591</v>
      </c>
      <c r="B267" s="2">
        <v>4034</v>
      </c>
      <c r="C267" s="6">
        <v>40495</v>
      </c>
      <c r="D267" s="4" t="s">
        <v>23</v>
      </c>
      <c r="E267" s="2">
        <v>44</v>
      </c>
      <c r="F267" s="5">
        <v>3367.24</v>
      </c>
      <c r="G267" s="5">
        <v>7.0000000000000007E-2</v>
      </c>
      <c r="H267" s="4" t="s">
        <v>15</v>
      </c>
      <c r="I267" s="5">
        <v>-1183.69</v>
      </c>
      <c r="J267" s="2">
        <v>79.52</v>
      </c>
      <c r="K267" s="5">
        <v>48.2</v>
      </c>
      <c r="L267" s="4" t="s">
        <v>653</v>
      </c>
      <c r="M267" s="4" t="s">
        <v>70</v>
      </c>
      <c r="N267" s="4" t="s">
        <v>44</v>
      </c>
      <c r="O267" s="4" t="s">
        <v>18</v>
      </c>
      <c r="P267" s="4" t="s">
        <v>33</v>
      </c>
      <c r="Q267" s="4" t="s">
        <v>34</v>
      </c>
      <c r="R267" s="2" t="s">
        <v>654</v>
      </c>
      <c r="S267" s="4" t="s">
        <v>36</v>
      </c>
      <c r="T267" s="2">
        <v>0.74</v>
      </c>
      <c r="U267" s="3">
        <v>40496</v>
      </c>
    </row>
    <row r="268" spans="1:21">
      <c r="A268" s="2">
        <v>593</v>
      </c>
      <c r="B268" s="2">
        <v>4037</v>
      </c>
      <c r="C268" s="6">
        <v>40260</v>
      </c>
      <c r="D268" s="4" t="s">
        <v>31</v>
      </c>
      <c r="E268" s="2">
        <v>27</v>
      </c>
      <c r="F268" s="5">
        <v>188.07</v>
      </c>
      <c r="G268" s="5">
        <v>0</v>
      </c>
      <c r="H268" s="4" t="s">
        <v>15</v>
      </c>
      <c r="I268" s="5">
        <v>-101.85</v>
      </c>
      <c r="J268" s="2">
        <v>6.48</v>
      </c>
      <c r="K268" s="5">
        <v>7.86</v>
      </c>
      <c r="L268" s="4" t="s">
        <v>655</v>
      </c>
      <c r="M268" s="4" t="s">
        <v>70</v>
      </c>
      <c r="N268" s="4" t="s">
        <v>44</v>
      </c>
      <c r="O268" s="4" t="s">
        <v>27</v>
      </c>
      <c r="P268" s="4" t="s">
        <v>19</v>
      </c>
      <c r="Q268" s="4" t="s">
        <v>78</v>
      </c>
      <c r="R268" s="2" t="s">
        <v>656</v>
      </c>
      <c r="S268" s="4" t="s">
        <v>51</v>
      </c>
      <c r="T268" s="2">
        <v>0.37</v>
      </c>
      <c r="U268" s="3">
        <v>40261</v>
      </c>
    </row>
    <row r="269" spans="1:21">
      <c r="A269" s="2">
        <v>605</v>
      </c>
      <c r="B269" s="2">
        <v>4128</v>
      </c>
      <c r="C269" s="6">
        <v>40822</v>
      </c>
      <c r="D269" s="4" t="s">
        <v>23</v>
      </c>
      <c r="E269" s="2">
        <v>38</v>
      </c>
      <c r="F269" s="5">
        <v>391.42</v>
      </c>
      <c r="G269" s="5">
        <v>0.04</v>
      </c>
      <c r="H269" s="4" t="s">
        <v>15</v>
      </c>
      <c r="I269" s="5">
        <v>25.03</v>
      </c>
      <c r="J269" s="2">
        <v>9.99</v>
      </c>
      <c r="K269" s="5">
        <v>5.12</v>
      </c>
      <c r="L269" s="4" t="s">
        <v>661</v>
      </c>
      <c r="M269" s="4" t="s">
        <v>57</v>
      </c>
      <c r="N269" s="4" t="s">
        <v>57</v>
      </c>
      <c r="O269" s="4" t="s">
        <v>60</v>
      </c>
      <c r="P269" s="4" t="s">
        <v>19</v>
      </c>
      <c r="Q269" s="4" t="s">
        <v>78</v>
      </c>
      <c r="R269" s="2" t="s">
        <v>662</v>
      </c>
      <c r="S269" s="4" t="s">
        <v>51</v>
      </c>
      <c r="T269" s="2">
        <v>0.4</v>
      </c>
      <c r="U269" s="3">
        <v>40824</v>
      </c>
    </row>
    <row r="270" spans="1:21">
      <c r="A270" s="2">
        <v>606</v>
      </c>
      <c r="B270" s="2">
        <v>4132</v>
      </c>
      <c r="C270" s="6">
        <v>40691</v>
      </c>
      <c r="D270" s="4" t="s">
        <v>23</v>
      </c>
      <c r="E270" s="2">
        <v>5</v>
      </c>
      <c r="F270" s="5">
        <v>14.76</v>
      </c>
      <c r="G270" s="5">
        <v>0.01</v>
      </c>
      <c r="H270" s="4" t="s">
        <v>15</v>
      </c>
      <c r="I270" s="5">
        <v>1.32</v>
      </c>
      <c r="J270" s="2">
        <v>2.88</v>
      </c>
      <c r="K270" s="5">
        <v>0.5</v>
      </c>
      <c r="L270" s="4" t="s">
        <v>663</v>
      </c>
      <c r="M270" s="4" t="s">
        <v>17</v>
      </c>
      <c r="N270" s="4" t="s">
        <v>17</v>
      </c>
      <c r="O270" s="4" t="s">
        <v>27</v>
      </c>
      <c r="P270" s="4" t="s">
        <v>19</v>
      </c>
      <c r="Q270" s="4" t="s">
        <v>75</v>
      </c>
      <c r="R270" s="2" t="s">
        <v>664</v>
      </c>
      <c r="S270" s="4" t="s">
        <v>51</v>
      </c>
      <c r="T270" s="2">
        <v>0.36</v>
      </c>
      <c r="U270" s="3">
        <v>40693</v>
      </c>
    </row>
    <row r="271" spans="1:21">
      <c r="A271" s="2">
        <v>614</v>
      </c>
      <c r="B271" s="2">
        <v>4199</v>
      </c>
      <c r="C271" s="6">
        <v>40951</v>
      </c>
      <c r="D271" s="4" t="s">
        <v>52</v>
      </c>
      <c r="E271" s="2">
        <v>43</v>
      </c>
      <c r="F271" s="5">
        <v>639.71</v>
      </c>
      <c r="G271" s="5">
        <v>0.01</v>
      </c>
      <c r="H271" s="4" t="s">
        <v>64</v>
      </c>
      <c r="I271" s="5">
        <v>102.53</v>
      </c>
      <c r="J271" s="2">
        <v>14.2</v>
      </c>
      <c r="K271" s="5">
        <v>5.3</v>
      </c>
      <c r="L271" s="4" t="s">
        <v>668</v>
      </c>
      <c r="M271" s="4" t="s">
        <v>25</v>
      </c>
      <c r="N271" s="4" t="s">
        <v>26</v>
      </c>
      <c r="O271" s="4" t="s">
        <v>27</v>
      </c>
      <c r="P271" s="4" t="s">
        <v>33</v>
      </c>
      <c r="Q271" s="4" t="s">
        <v>34</v>
      </c>
      <c r="R271" s="2" t="s">
        <v>669</v>
      </c>
      <c r="S271" s="4" t="s">
        <v>50</v>
      </c>
      <c r="T271" s="2">
        <v>0.46</v>
      </c>
      <c r="U271" s="3">
        <v>40952</v>
      </c>
    </row>
    <row r="272" spans="1:21">
      <c r="A272" s="2">
        <v>615</v>
      </c>
      <c r="B272" s="2">
        <v>4230</v>
      </c>
      <c r="C272" s="6">
        <v>40971</v>
      </c>
      <c r="D272" s="4" t="s">
        <v>52</v>
      </c>
      <c r="E272" s="2">
        <v>18</v>
      </c>
      <c r="F272" s="5">
        <v>409.16</v>
      </c>
      <c r="G272" s="5">
        <v>0.05</v>
      </c>
      <c r="H272" s="4" t="s">
        <v>15</v>
      </c>
      <c r="I272" s="5">
        <v>21.96</v>
      </c>
      <c r="J272" s="2">
        <v>22.72</v>
      </c>
      <c r="K272" s="5">
        <v>8.99</v>
      </c>
      <c r="L272" s="4" t="s">
        <v>670</v>
      </c>
      <c r="M272" s="4" t="s">
        <v>74</v>
      </c>
      <c r="N272" s="4" t="s">
        <v>74</v>
      </c>
      <c r="O272" s="4" t="s">
        <v>27</v>
      </c>
      <c r="P272" s="4" t="s">
        <v>33</v>
      </c>
      <c r="Q272" s="4" t="s">
        <v>34</v>
      </c>
      <c r="R272" s="2" t="s">
        <v>666</v>
      </c>
      <c r="S272" s="4" t="s">
        <v>30</v>
      </c>
      <c r="T272" s="2">
        <v>0.44</v>
      </c>
      <c r="U272" s="3">
        <v>40972</v>
      </c>
    </row>
    <row r="273" spans="1:21">
      <c r="A273" s="2">
        <v>617</v>
      </c>
      <c r="B273" s="2">
        <v>4257</v>
      </c>
      <c r="C273" s="6">
        <v>40626</v>
      </c>
      <c r="D273" s="4" t="s">
        <v>72</v>
      </c>
      <c r="E273" s="2">
        <v>45</v>
      </c>
      <c r="F273" s="5">
        <v>253.89</v>
      </c>
      <c r="G273" s="5">
        <v>0.01</v>
      </c>
      <c r="H273" s="4" t="s">
        <v>15</v>
      </c>
      <c r="I273" s="5">
        <v>-83.66</v>
      </c>
      <c r="J273" s="2">
        <v>5.58</v>
      </c>
      <c r="K273" s="5">
        <v>5.3</v>
      </c>
      <c r="L273" s="4" t="s">
        <v>671</v>
      </c>
      <c r="M273" s="4" t="s">
        <v>47</v>
      </c>
      <c r="N273" s="4" t="s">
        <v>26</v>
      </c>
      <c r="O273" s="4" t="s">
        <v>60</v>
      </c>
      <c r="P273" s="4" t="s">
        <v>19</v>
      </c>
      <c r="Q273" s="4" t="s">
        <v>128</v>
      </c>
      <c r="R273" s="2" t="s">
        <v>623</v>
      </c>
      <c r="S273" s="4" t="s">
        <v>51</v>
      </c>
      <c r="T273" s="2">
        <v>0.35</v>
      </c>
      <c r="U273" s="3">
        <v>40628</v>
      </c>
    </row>
    <row r="274" spans="1:21">
      <c r="A274" s="2">
        <v>624</v>
      </c>
      <c r="B274" s="2">
        <v>4324</v>
      </c>
      <c r="C274" s="6">
        <v>40740</v>
      </c>
      <c r="D274" s="4" t="s">
        <v>52</v>
      </c>
      <c r="E274" s="2">
        <v>28</v>
      </c>
      <c r="F274" s="5">
        <v>1165.33</v>
      </c>
      <c r="G274" s="5">
        <v>0.04</v>
      </c>
      <c r="H274" s="4" t="s">
        <v>15</v>
      </c>
      <c r="I274" s="5">
        <v>154.85</v>
      </c>
      <c r="J274" s="2">
        <v>40.97</v>
      </c>
      <c r="K274" s="5">
        <v>8.99</v>
      </c>
      <c r="L274" s="4" t="s">
        <v>673</v>
      </c>
      <c r="M274" s="4" t="s">
        <v>74</v>
      </c>
      <c r="N274" s="4" t="s">
        <v>74</v>
      </c>
      <c r="O274" s="4" t="s">
        <v>18</v>
      </c>
      <c r="P274" s="4" t="s">
        <v>19</v>
      </c>
      <c r="Q274" s="4" t="s">
        <v>48</v>
      </c>
      <c r="R274" s="2" t="s">
        <v>674</v>
      </c>
      <c r="S274" s="4" t="s">
        <v>30</v>
      </c>
      <c r="T274" s="2">
        <v>0.59</v>
      </c>
      <c r="U274" s="3">
        <v>40742</v>
      </c>
    </row>
    <row r="275" spans="1:21">
      <c r="A275" s="2">
        <v>626</v>
      </c>
      <c r="B275" s="2">
        <v>4359</v>
      </c>
      <c r="C275" s="6">
        <v>40239</v>
      </c>
      <c r="D275" s="4" t="s">
        <v>52</v>
      </c>
      <c r="E275" s="2">
        <v>21</v>
      </c>
      <c r="F275" s="5">
        <v>215.76</v>
      </c>
      <c r="G275" s="5">
        <v>0.09</v>
      </c>
      <c r="H275" s="4" t="s">
        <v>15</v>
      </c>
      <c r="I275" s="5">
        <v>-97.75</v>
      </c>
      <c r="J275" s="2">
        <v>10.9</v>
      </c>
      <c r="K275" s="5">
        <v>7.46</v>
      </c>
      <c r="L275" s="4" t="s">
        <v>675</v>
      </c>
      <c r="M275" s="4" t="s">
        <v>43</v>
      </c>
      <c r="N275" s="4" t="s">
        <v>44</v>
      </c>
      <c r="O275" s="4" t="s">
        <v>54</v>
      </c>
      <c r="P275" s="4" t="s">
        <v>19</v>
      </c>
      <c r="Q275" s="4" t="s">
        <v>20</v>
      </c>
      <c r="R275" s="2" t="s">
        <v>676</v>
      </c>
      <c r="S275" s="4" t="s">
        <v>51</v>
      </c>
      <c r="T275" s="2">
        <v>0.59</v>
      </c>
      <c r="U275" s="3">
        <v>40241</v>
      </c>
    </row>
    <row r="276" spans="1:21">
      <c r="A276" s="2">
        <v>628</v>
      </c>
      <c r="B276" s="2">
        <v>4389</v>
      </c>
      <c r="C276" s="6">
        <v>39937</v>
      </c>
      <c r="D276" s="4" t="s">
        <v>72</v>
      </c>
      <c r="E276" s="2">
        <v>35</v>
      </c>
      <c r="F276" s="5">
        <v>179.45</v>
      </c>
      <c r="G276" s="5">
        <v>7.0000000000000007E-2</v>
      </c>
      <c r="H276" s="4" t="s">
        <v>15</v>
      </c>
      <c r="I276" s="5">
        <v>-116.35</v>
      </c>
      <c r="J276" s="2">
        <v>5.34</v>
      </c>
      <c r="K276" s="5">
        <v>5.63</v>
      </c>
      <c r="L276" s="4" t="s">
        <v>677</v>
      </c>
      <c r="M276" s="4" t="s">
        <v>25</v>
      </c>
      <c r="N276" s="4" t="s">
        <v>26</v>
      </c>
      <c r="O276" s="4" t="s">
        <v>27</v>
      </c>
      <c r="P276" s="4" t="s">
        <v>19</v>
      </c>
      <c r="Q276" s="4" t="s">
        <v>111</v>
      </c>
      <c r="R276" s="2" t="s">
        <v>678</v>
      </c>
      <c r="S276" s="4" t="s">
        <v>51</v>
      </c>
      <c r="T276" s="2">
        <v>0.39</v>
      </c>
      <c r="U276" s="3">
        <v>39939</v>
      </c>
    </row>
    <row r="277" spans="1:21">
      <c r="A277" s="2">
        <v>632</v>
      </c>
      <c r="B277" s="2">
        <v>4416</v>
      </c>
      <c r="C277" s="6">
        <v>41089</v>
      </c>
      <c r="D277" s="4" t="s">
        <v>14</v>
      </c>
      <c r="E277" s="2">
        <v>46</v>
      </c>
      <c r="F277" s="5">
        <v>7441.29</v>
      </c>
      <c r="G277" s="5">
        <v>0.1</v>
      </c>
      <c r="H277" s="4" t="s">
        <v>15</v>
      </c>
      <c r="I277" s="5">
        <v>2665.4</v>
      </c>
      <c r="J277" s="2">
        <v>165.98</v>
      </c>
      <c r="K277" s="5">
        <v>19.989999999999998</v>
      </c>
      <c r="L277" s="4" t="s">
        <v>679</v>
      </c>
      <c r="M277" s="4" t="s">
        <v>199</v>
      </c>
      <c r="N277" s="4" t="s">
        <v>86</v>
      </c>
      <c r="O277" s="4" t="s">
        <v>27</v>
      </c>
      <c r="P277" s="4" t="s">
        <v>19</v>
      </c>
      <c r="Q277" s="4" t="s">
        <v>111</v>
      </c>
      <c r="R277" s="2" t="s">
        <v>680</v>
      </c>
      <c r="S277" s="4" t="s">
        <v>51</v>
      </c>
      <c r="T277" s="2">
        <v>0.4</v>
      </c>
      <c r="U277" s="3">
        <v>41093</v>
      </c>
    </row>
    <row r="278" spans="1:21">
      <c r="A278" s="2">
        <v>633</v>
      </c>
      <c r="B278" s="2">
        <v>4422</v>
      </c>
      <c r="C278" s="6">
        <v>40684</v>
      </c>
      <c r="D278" s="4" t="s">
        <v>72</v>
      </c>
      <c r="E278" s="2">
        <v>12</v>
      </c>
      <c r="F278" s="5">
        <v>313.43</v>
      </c>
      <c r="G278" s="5">
        <v>0.02</v>
      </c>
      <c r="H278" s="4" t="s">
        <v>15</v>
      </c>
      <c r="I278" s="5">
        <v>104.03</v>
      </c>
      <c r="J278" s="2">
        <v>25.38</v>
      </c>
      <c r="K278" s="5">
        <v>8.99</v>
      </c>
      <c r="L278" s="4" t="s">
        <v>681</v>
      </c>
      <c r="M278" s="4" t="s">
        <v>47</v>
      </c>
      <c r="N278" s="4" t="s">
        <v>26</v>
      </c>
      <c r="O278" s="4" t="s">
        <v>60</v>
      </c>
      <c r="P278" s="4" t="s">
        <v>33</v>
      </c>
      <c r="Q278" s="4" t="s">
        <v>34</v>
      </c>
      <c r="R278" s="2" t="s">
        <v>682</v>
      </c>
      <c r="S278" s="4" t="s">
        <v>30</v>
      </c>
      <c r="T278" s="2">
        <v>0.5</v>
      </c>
      <c r="U278" s="3">
        <v>40684</v>
      </c>
    </row>
    <row r="279" spans="1:21">
      <c r="A279" s="2">
        <v>637</v>
      </c>
      <c r="B279" s="2">
        <v>4455</v>
      </c>
      <c r="C279" s="6">
        <v>40461</v>
      </c>
      <c r="D279" s="4" t="s">
        <v>72</v>
      </c>
      <c r="E279" s="2">
        <v>39</v>
      </c>
      <c r="F279" s="5">
        <v>279.29000000000002</v>
      </c>
      <c r="G279" s="5">
        <v>7.0000000000000007E-2</v>
      </c>
      <c r="H279" s="4" t="s">
        <v>15</v>
      </c>
      <c r="I279" s="5">
        <v>14.15</v>
      </c>
      <c r="J279" s="2">
        <v>7.59</v>
      </c>
      <c r="K279" s="5">
        <v>4</v>
      </c>
      <c r="L279" s="4" t="s">
        <v>685</v>
      </c>
      <c r="M279" s="4" t="s">
        <v>66</v>
      </c>
      <c r="N279" s="4" t="s">
        <v>66</v>
      </c>
      <c r="O279" s="4" t="s">
        <v>18</v>
      </c>
      <c r="P279" s="4" t="s">
        <v>33</v>
      </c>
      <c r="Q279" s="4" t="s">
        <v>34</v>
      </c>
      <c r="R279" s="2" t="s">
        <v>686</v>
      </c>
      <c r="S279" s="4" t="s">
        <v>50</v>
      </c>
      <c r="T279" s="2">
        <v>0.42</v>
      </c>
      <c r="U279" s="3">
        <v>40463</v>
      </c>
    </row>
    <row r="280" spans="1:21">
      <c r="A280" s="2">
        <v>638</v>
      </c>
      <c r="B280" s="2">
        <v>4487</v>
      </c>
      <c r="C280" s="6">
        <v>40231</v>
      </c>
      <c r="D280" s="4" t="s">
        <v>72</v>
      </c>
      <c r="E280" s="2">
        <v>50</v>
      </c>
      <c r="F280" s="5">
        <v>325.24</v>
      </c>
      <c r="G280" s="5">
        <v>0.05</v>
      </c>
      <c r="H280" s="4" t="s">
        <v>15</v>
      </c>
      <c r="I280" s="5">
        <v>-79.42</v>
      </c>
      <c r="J280" s="2">
        <v>6.54</v>
      </c>
      <c r="K280" s="5">
        <v>5.27</v>
      </c>
      <c r="L280" s="4" t="s">
        <v>687</v>
      </c>
      <c r="M280" s="4" t="s">
        <v>85</v>
      </c>
      <c r="N280" s="4" t="s">
        <v>86</v>
      </c>
      <c r="O280" s="4" t="s">
        <v>18</v>
      </c>
      <c r="P280" s="4" t="s">
        <v>19</v>
      </c>
      <c r="Q280" s="4" t="s">
        <v>111</v>
      </c>
      <c r="R280" s="2" t="s">
        <v>122</v>
      </c>
      <c r="S280" s="4" t="s">
        <v>51</v>
      </c>
      <c r="T280" s="2">
        <v>0.36</v>
      </c>
      <c r="U280" s="3">
        <v>40232</v>
      </c>
    </row>
    <row r="281" spans="1:21">
      <c r="A281" s="2">
        <v>642</v>
      </c>
      <c r="B281" s="2">
        <v>4516</v>
      </c>
      <c r="C281" s="6">
        <v>39900</v>
      </c>
      <c r="D281" s="4" t="s">
        <v>72</v>
      </c>
      <c r="E281" s="2">
        <v>42</v>
      </c>
      <c r="F281" s="5">
        <v>294.77999999999997</v>
      </c>
      <c r="G281" s="5">
        <v>0.05</v>
      </c>
      <c r="H281" s="4" t="s">
        <v>15</v>
      </c>
      <c r="I281" s="5">
        <v>-113.45</v>
      </c>
      <c r="J281" s="2">
        <v>6.68</v>
      </c>
      <c r="K281" s="5">
        <v>6.93</v>
      </c>
      <c r="L281" s="4" t="s">
        <v>689</v>
      </c>
      <c r="M281" s="4" t="s">
        <v>70</v>
      </c>
      <c r="N281" s="4" t="s">
        <v>44</v>
      </c>
      <c r="O281" s="4" t="s">
        <v>18</v>
      </c>
      <c r="P281" s="4" t="s">
        <v>19</v>
      </c>
      <c r="Q281" s="4" t="s">
        <v>78</v>
      </c>
      <c r="R281" s="2" t="s">
        <v>690</v>
      </c>
      <c r="S281" s="4" t="s">
        <v>51</v>
      </c>
      <c r="T281" s="2">
        <v>0.37</v>
      </c>
      <c r="U281" s="3">
        <v>39901</v>
      </c>
    </row>
    <row r="282" spans="1:21">
      <c r="A282" s="2">
        <v>649</v>
      </c>
      <c r="B282" s="2">
        <v>4579</v>
      </c>
      <c r="C282" s="6">
        <v>40877</v>
      </c>
      <c r="D282" s="4" t="s">
        <v>31</v>
      </c>
      <c r="E282" s="2">
        <v>40</v>
      </c>
      <c r="F282" s="5">
        <v>1765.05</v>
      </c>
      <c r="G282" s="5">
        <v>0.05</v>
      </c>
      <c r="H282" s="4" t="s">
        <v>15</v>
      </c>
      <c r="I282" s="5">
        <v>749.22</v>
      </c>
      <c r="J282" s="2">
        <v>43.41</v>
      </c>
      <c r="K282" s="5">
        <v>2.99</v>
      </c>
      <c r="L282" s="4" t="s">
        <v>692</v>
      </c>
      <c r="M282" s="4" t="s">
        <v>85</v>
      </c>
      <c r="N282" s="4" t="s">
        <v>86</v>
      </c>
      <c r="O282" s="4" t="s">
        <v>18</v>
      </c>
      <c r="P282" s="4" t="s">
        <v>19</v>
      </c>
      <c r="Q282" s="4" t="s">
        <v>111</v>
      </c>
      <c r="R282" s="2" t="s">
        <v>693</v>
      </c>
      <c r="S282" s="4" t="s">
        <v>51</v>
      </c>
      <c r="T282" s="2">
        <v>0.39</v>
      </c>
      <c r="U282" s="3">
        <v>40878</v>
      </c>
    </row>
    <row r="283" spans="1:21">
      <c r="A283" s="2">
        <v>651</v>
      </c>
      <c r="B283" s="2">
        <v>4581</v>
      </c>
      <c r="C283" s="6">
        <v>41155</v>
      </c>
      <c r="D283" s="4" t="s">
        <v>23</v>
      </c>
      <c r="E283" s="2">
        <v>25</v>
      </c>
      <c r="F283" s="5">
        <v>2325.42</v>
      </c>
      <c r="G283" s="5">
        <v>0.02</v>
      </c>
      <c r="H283" s="4" t="s">
        <v>15</v>
      </c>
      <c r="I283" s="5">
        <v>739.91</v>
      </c>
      <c r="J283" s="2">
        <v>90.48</v>
      </c>
      <c r="K283" s="5">
        <v>19.989999999999998</v>
      </c>
      <c r="L283" s="4" t="s">
        <v>293</v>
      </c>
      <c r="M283" s="4" t="s">
        <v>74</v>
      </c>
      <c r="N283" s="4" t="s">
        <v>74</v>
      </c>
      <c r="O283" s="4" t="s">
        <v>54</v>
      </c>
      <c r="P283" s="4" t="s">
        <v>19</v>
      </c>
      <c r="Q283" s="4" t="s">
        <v>128</v>
      </c>
      <c r="R283" s="2" t="s">
        <v>694</v>
      </c>
      <c r="S283" s="4" t="s">
        <v>51</v>
      </c>
      <c r="T283" s="2">
        <v>0.4</v>
      </c>
      <c r="U283" s="3">
        <v>41157</v>
      </c>
    </row>
    <row r="284" spans="1:21">
      <c r="A284" s="2">
        <v>653</v>
      </c>
      <c r="B284" s="2">
        <v>4610</v>
      </c>
      <c r="C284" s="6">
        <v>40346</v>
      </c>
      <c r="D284" s="4" t="s">
        <v>14</v>
      </c>
      <c r="E284" s="2">
        <v>8</v>
      </c>
      <c r="F284" s="5">
        <v>66.88</v>
      </c>
      <c r="G284" s="5">
        <v>0.09</v>
      </c>
      <c r="H284" s="4" t="s">
        <v>15</v>
      </c>
      <c r="I284" s="5">
        <v>-17.010000000000002</v>
      </c>
      <c r="J284" s="2">
        <v>8.33</v>
      </c>
      <c r="K284" s="5">
        <v>1.99</v>
      </c>
      <c r="L284" s="4" t="s">
        <v>695</v>
      </c>
      <c r="M284" s="4" t="s">
        <v>57</v>
      </c>
      <c r="N284" s="4" t="s">
        <v>57</v>
      </c>
      <c r="O284" s="4" t="s">
        <v>18</v>
      </c>
      <c r="P284" s="4" t="s">
        <v>40</v>
      </c>
      <c r="Q284" s="4" t="s">
        <v>45</v>
      </c>
      <c r="R284" s="2" t="s">
        <v>696</v>
      </c>
      <c r="S284" s="4" t="s">
        <v>30</v>
      </c>
      <c r="T284" s="2">
        <v>0.52</v>
      </c>
      <c r="U284" s="3">
        <v>40348</v>
      </c>
    </row>
    <row r="285" spans="1:21">
      <c r="A285" s="2">
        <v>659</v>
      </c>
      <c r="B285" s="2">
        <v>4645</v>
      </c>
      <c r="C285" s="6">
        <v>40075</v>
      </c>
      <c r="D285" s="4" t="s">
        <v>52</v>
      </c>
      <c r="E285" s="2">
        <v>30</v>
      </c>
      <c r="F285" s="5">
        <v>920</v>
      </c>
      <c r="G285" s="5">
        <v>0.08</v>
      </c>
      <c r="H285" s="4" t="s">
        <v>15</v>
      </c>
      <c r="I285" s="5">
        <v>-45.07</v>
      </c>
      <c r="J285" s="2">
        <v>30.73</v>
      </c>
      <c r="K285" s="5">
        <v>4</v>
      </c>
      <c r="L285" s="4" t="s">
        <v>697</v>
      </c>
      <c r="M285" s="4" t="s">
        <v>25</v>
      </c>
      <c r="N285" s="4" t="s">
        <v>26</v>
      </c>
      <c r="O285" s="4" t="s">
        <v>18</v>
      </c>
      <c r="P285" s="4" t="s">
        <v>40</v>
      </c>
      <c r="Q285" s="4" t="s">
        <v>45</v>
      </c>
      <c r="R285" s="2" t="s">
        <v>698</v>
      </c>
      <c r="S285" s="4" t="s">
        <v>51</v>
      </c>
      <c r="T285" s="2">
        <v>0.75</v>
      </c>
      <c r="U285" s="3">
        <v>40075</v>
      </c>
    </row>
    <row r="286" spans="1:21">
      <c r="A286" s="2">
        <v>667</v>
      </c>
      <c r="B286" s="2">
        <v>4674</v>
      </c>
      <c r="C286" s="6">
        <v>39921</v>
      </c>
      <c r="D286" s="4" t="s">
        <v>52</v>
      </c>
      <c r="E286" s="2">
        <v>23</v>
      </c>
      <c r="F286" s="5">
        <v>3041.33</v>
      </c>
      <c r="G286" s="5">
        <v>0.02</v>
      </c>
      <c r="H286" s="4" t="s">
        <v>37</v>
      </c>
      <c r="I286" s="5">
        <v>-260.41000000000003</v>
      </c>
      <c r="J286" s="2">
        <v>130.97999999999999</v>
      </c>
      <c r="K286" s="5">
        <v>30</v>
      </c>
      <c r="L286" s="4" t="s">
        <v>701</v>
      </c>
      <c r="M286" s="4" t="s">
        <v>43</v>
      </c>
      <c r="N286" s="4" t="s">
        <v>44</v>
      </c>
      <c r="O286" s="4" t="s">
        <v>27</v>
      </c>
      <c r="P286" s="4" t="s">
        <v>33</v>
      </c>
      <c r="Q286" s="4" t="s">
        <v>172</v>
      </c>
      <c r="R286" s="2" t="s">
        <v>702</v>
      </c>
      <c r="S286" s="4" t="s">
        <v>121</v>
      </c>
      <c r="T286" s="2">
        <v>0.78</v>
      </c>
      <c r="U286" s="3">
        <v>39922</v>
      </c>
    </row>
    <row r="287" spans="1:21">
      <c r="A287" s="2">
        <v>673</v>
      </c>
      <c r="B287" s="2">
        <v>4705</v>
      </c>
      <c r="C287" s="6">
        <v>40989</v>
      </c>
      <c r="D287" s="4" t="s">
        <v>23</v>
      </c>
      <c r="E287" s="2">
        <v>16</v>
      </c>
      <c r="F287" s="5">
        <v>123.85</v>
      </c>
      <c r="G287" s="5">
        <v>0.09</v>
      </c>
      <c r="H287" s="4" t="s">
        <v>15</v>
      </c>
      <c r="I287" s="5">
        <v>-71.44</v>
      </c>
      <c r="J287" s="2">
        <v>7.98</v>
      </c>
      <c r="K287" s="5">
        <v>6.5</v>
      </c>
      <c r="L287" s="4" t="s">
        <v>703</v>
      </c>
      <c r="M287" s="4" t="s">
        <v>25</v>
      </c>
      <c r="N287" s="4" t="s">
        <v>26</v>
      </c>
      <c r="O287" s="4" t="s">
        <v>27</v>
      </c>
      <c r="P287" s="4" t="s">
        <v>19</v>
      </c>
      <c r="Q287" s="4" t="s">
        <v>20</v>
      </c>
      <c r="R287" s="2" t="s">
        <v>704</v>
      </c>
      <c r="S287" s="4" t="s">
        <v>36</v>
      </c>
      <c r="T287" s="2">
        <v>0.59</v>
      </c>
      <c r="U287" s="3">
        <v>40991</v>
      </c>
    </row>
    <row r="288" spans="1:21">
      <c r="A288" s="2">
        <v>687</v>
      </c>
      <c r="B288" s="2">
        <v>4774</v>
      </c>
      <c r="C288" s="6">
        <v>40287</v>
      </c>
      <c r="D288" s="4" t="s">
        <v>72</v>
      </c>
      <c r="E288" s="2">
        <v>4</v>
      </c>
      <c r="F288" s="5">
        <v>126.87</v>
      </c>
      <c r="G288" s="5">
        <v>0.08</v>
      </c>
      <c r="H288" s="4" t="s">
        <v>15</v>
      </c>
      <c r="I288" s="5">
        <v>-125.99</v>
      </c>
      <c r="J288" s="2">
        <v>32.979999999999997</v>
      </c>
      <c r="K288" s="5">
        <v>5.5</v>
      </c>
      <c r="L288" s="4" t="s">
        <v>707</v>
      </c>
      <c r="M288" s="4" t="s">
        <v>70</v>
      </c>
      <c r="N288" s="4" t="s">
        <v>44</v>
      </c>
      <c r="O288" s="4" t="s">
        <v>27</v>
      </c>
      <c r="P288" s="4" t="s">
        <v>40</v>
      </c>
      <c r="Q288" s="4" t="s">
        <v>45</v>
      </c>
      <c r="R288" s="2" t="s">
        <v>708</v>
      </c>
      <c r="S288" s="4" t="s">
        <v>51</v>
      </c>
      <c r="T288" s="2">
        <v>0.75</v>
      </c>
      <c r="U288" s="3">
        <v>40288</v>
      </c>
    </row>
    <row r="289" spans="1:21">
      <c r="A289" s="2">
        <v>688</v>
      </c>
      <c r="B289" s="2">
        <v>4800</v>
      </c>
      <c r="C289" s="6">
        <v>40913</v>
      </c>
      <c r="D289" s="4" t="s">
        <v>14</v>
      </c>
      <c r="E289" s="2">
        <v>4</v>
      </c>
      <c r="F289" s="5">
        <v>41.94</v>
      </c>
      <c r="G289" s="5">
        <v>0.05</v>
      </c>
      <c r="H289" s="4" t="s">
        <v>15</v>
      </c>
      <c r="I289" s="5">
        <v>-26.17</v>
      </c>
      <c r="J289" s="2">
        <v>8.0399999999999991</v>
      </c>
      <c r="K289" s="5">
        <v>8.94</v>
      </c>
      <c r="L289" s="4" t="s">
        <v>709</v>
      </c>
      <c r="M289" s="4" t="s">
        <v>66</v>
      </c>
      <c r="N289" s="4" t="s">
        <v>66</v>
      </c>
      <c r="O289" s="4" t="s">
        <v>27</v>
      </c>
      <c r="P289" s="4" t="s">
        <v>19</v>
      </c>
      <c r="Q289" s="4" t="s">
        <v>111</v>
      </c>
      <c r="R289" s="2" t="s">
        <v>710</v>
      </c>
      <c r="S289" s="4" t="s">
        <v>51</v>
      </c>
      <c r="T289" s="2">
        <v>0.4</v>
      </c>
      <c r="U289" s="3">
        <v>40920</v>
      </c>
    </row>
    <row r="290" spans="1:21">
      <c r="A290" s="2">
        <v>697</v>
      </c>
      <c r="B290" s="2">
        <v>4871</v>
      </c>
      <c r="C290" s="6">
        <v>40705</v>
      </c>
      <c r="D290" s="4" t="s">
        <v>52</v>
      </c>
      <c r="E290" s="2">
        <v>8</v>
      </c>
      <c r="F290" s="5">
        <v>775.74</v>
      </c>
      <c r="G290" s="5">
        <v>0.02</v>
      </c>
      <c r="H290" s="4" t="s">
        <v>37</v>
      </c>
      <c r="I290" s="5">
        <v>-215.39</v>
      </c>
      <c r="J290" s="2">
        <v>89.99</v>
      </c>
      <c r="K290" s="5">
        <v>42</v>
      </c>
      <c r="L290" s="4" t="s">
        <v>712</v>
      </c>
      <c r="M290" s="4" t="s">
        <v>43</v>
      </c>
      <c r="N290" s="4" t="s">
        <v>44</v>
      </c>
      <c r="O290" s="4" t="s">
        <v>60</v>
      </c>
      <c r="P290" s="4" t="s">
        <v>33</v>
      </c>
      <c r="Q290" s="4" t="s">
        <v>172</v>
      </c>
      <c r="R290" s="2" t="s">
        <v>622</v>
      </c>
      <c r="S290" s="4" t="s">
        <v>121</v>
      </c>
      <c r="T290" s="2">
        <v>0.66</v>
      </c>
      <c r="U290" s="3">
        <v>40707</v>
      </c>
    </row>
    <row r="291" spans="1:21">
      <c r="A291" s="2">
        <v>699</v>
      </c>
      <c r="B291" s="2">
        <v>4896</v>
      </c>
      <c r="C291" s="6">
        <v>41142</v>
      </c>
      <c r="D291" s="4" t="s">
        <v>52</v>
      </c>
      <c r="E291" s="2">
        <v>25</v>
      </c>
      <c r="F291" s="5">
        <v>831.52</v>
      </c>
      <c r="G291" s="5">
        <v>7.0000000000000007E-2</v>
      </c>
      <c r="H291" s="4" t="s">
        <v>15</v>
      </c>
      <c r="I291" s="5">
        <v>259.47000000000003</v>
      </c>
      <c r="J291" s="2">
        <v>35.409999999999997</v>
      </c>
      <c r="K291" s="5">
        <v>1.99</v>
      </c>
      <c r="L291" s="4" t="s">
        <v>713</v>
      </c>
      <c r="M291" s="4" t="s">
        <v>85</v>
      </c>
      <c r="N291" s="4" t="s">
        <v>86</v>
      </c>
      <c r="O291" s="4" t="s">
        <v>18</v>
      </c>
      <c r="P291" s="4" t="s">
        <v>40</v>
      </c>
      <c r="Q291" s="4" t="s">
        <v>45</v>
      </c>
      <c r="R291" s="2" t="s">
        <v>714</v>
      </c>
      <c r="S291" s="4" t="s">
        <v>30</v>
      </c>
      <c r="T291" s="2">
        <v>0.43</v>
      </c>
      <c r="U291" s="3">
        <v>41142</v>
      </c>
    </row>
    <row r="292" spans="1:21">
      <c r="A292" s="2">
        <v>702</v>
      </c>
      <c r="B292" s="2">
        <v>4931</v>
      </c>
      <c r="C292" s="6">
        <v>40133</v>
      </c>
      <c r="D292" s="4" t="s">
        <v>52</v>
      </c>
      <c r="E292" s="2">
        <v>22</v>
      </c>
      <c r="F292" s="5">
        <v>168.31</v>
      </c>
      <c r="G292" s="5">
        <v>0.1</v>
      </c>
      <c r="H292" s="4" t="s">
        <v>15</v>
      </c>
      <c r="I292" s="5">
        <v>46.49</v>
      </c>
      <c r="J292" s="2">
        <v>8.17</v>
      </c>
      <c r="K292" s="5">
        <v>1.69</v>
      </c>
      <c r="L292" s="4" t="s">
        <v>715</v>
      </c>
      <c r="M292" s="4" t="s">
        <v>74</v>
      </c>
      <c r="N292" s="4" t="s">
        <v>74</v>
      </c>
      <c r="O292" s="4" t="s">
        <v>27</v>
      </c>
      <c r="P292" s="4" t="s">
        <v>19</v>
      </c>
      <c r="Q292" s="4" t="s">
        <v>78</v>
      </c>
      <c r="R292" s="2" t="s">
        <v>716</v>
      </c>
      <c r="S292" s="4" t="s">
        <v>50</v>
      </c>
      <c r="T292" s="2">
        <v>0.38</v>
      </c>
      <c r="U292" s="3">
        <v>40133</v>
      </c>
    </row>
    <row r="293" spans="1:21">
      <c r="A293" s="2">
        <v>705</v>
      </c>
      <c r="B293" s="2">
        <v>4935</v>
      </c>
      <c r="C293" s="6">
        <v>40322</v>
      </c>
      <c r="D293" s="4" t="s">
        <v>23</v>
      </c>
      <c r="E293" s="2">
        <v>30</v>
      </c>
      <c r="F293" s="5">
        <v>106.64</v>
      </c>
      <c r="G293" s="5">
        <v>0.1</v>
      </c>
      <c r="H293" s="4" t="s">
        <v>15</v>
      </c>
      <c r="I293" s="5">
        <v>-31.95</v>
      </c>
      <c r="J293" s="2">
        <v>3.68</v>
      </c>
      <c r="K293" s="5">
        <v>1.32</v>
      </c>
      <c r="L293" s="4" t="s">
        <v>718</v>
      </c>
      <c r="M293" s="4" t="s">
        <v>57</v>
      </c>
      <c r="N293" s="4" t="s">
        <v>57</v>
      </c>
      <c r="O293" s="4" t="s">
        <v>27</v>
      </c>
      <c r="P293" s="4" t="s">
        <v>19</v>
      </c>
      <c r="Q293" s="4" t="s">
        <v>28</v>
      </c>
      <c r="R293" s="2" t="s">
        <v>719</v>
      </c>
      <c r="S293" s="4" t="s">
        <v>50</v>
      </c>
      <c r="T293" s="2">
        <v>0.83</v>
      </c>
      <c r="U293" s="3">
        <v>40325</v>
      </c>
    </row>
    <row r="294" spans="1:21">
      <c r="A294" s="2">
        <v>710</v>
      </c>
      <c r="B294" s="2">
        <v>4996</v>
      </c>
      <c r="C294" s="6">
        <v>41165</v>
      </c>
      <c r="D294" s="4" t="s">
        <v>72</v>
      </c>
      <c r="E294" s="2">
        <v>30</v>
      </c>
      <c r="F294" s="5">
        <v>4305.79</v>
      </c>
      <c r="G294" s="5">
        <v>0</v>
      </c>
      <c r="H294" s="4" t="s">
        <v>15</v>
      </c>
      <c r="I294" s="5">
        <v>1020.32</v>
      </c>
      <c r="J294" s="2">
        <v>142.86000000000001</v>
      </c>
      <c r="K294" s="5">
        <v>19.989999999999998</v>
      </c>
      <c r="L294" s="4" t="s">
        <v>721</v>
      </c>
      <c r="M294" s="4" t="s">
        <v>47</v>
      </c>
      <c r="N294" s="4" t="s">
        <v>26</v>
      </c>
      <c r="O294" s="4" t="s">
        <v>27</v>
      </c>
      <c r="P294" s="4" t="s">
        <v>19</v>
      </c>
      <c r="Q294" s="4" t="s">
        <v>20</v>
      </c>
      <c r="R294" s="2" t="s">
        <v>722</v>
      </c>
      <c r="S294" s="4" t="s">
        <v>51</v>
      </c>
      <c r="T294" s="2">
        <v>0.56000000000000005</v>
      </c>
      <c r="U294" s="3">
        <v>41166</v>
      </c>
    </row>
    <row r="295" spans="1:21">
      <c r="A295" s="2">
        <v>712</v>
      </c>
      <c r="B295" s="2">
        <v>5059</v>
      </c>
      <c r="C295" s="6">
        <v>40491</v>
      </c>
      <c r="D295" s="4" t="s">
        <v>31</v>
      </c>
      <c r="E295" s="2">
        <v>5</v>
      </c>
      <c r="F295" s="5">
        <v>41.18</v>
      </c>
      <c r="G295" s="5">
        <v>0.1</v>
      </c>
      <c r="H295" s="4" t="s">
        <v>64</v>
      </c>
      <c r="I295" s="5">
        <v>-19.309999999999999</v>
      </c>
      <c r="J295" s="2">
        <v>5.44</v>
      </c>
      <c r="K295" s="5">
        <v>7.46</v>
      </c>
      <c r="L295" s="4" t="s">
        <v>723</v>
      </c>
      <c r="M295" s="4" t="s">
        <v>43</v>
      </c>
      <c r="N295" s="4" t="s">
        <v>44</v>
      </c>
      <c r="O295" s="4" t="s">
        <v>18</v>
      </c>
      <c r="P295" s="4" t="s">
        <v>19</v>
      </c>
      <c r="Q295" s="4" t="s">
        <v>111</v>
      </c>
      <c r="R295" s="2" t="s">
        <v>524</v>
      </c>
      <c r="S295" s="4" t="s">
        <v>51</v>
      </c>
      <c r="T295" s="2">
        <v>0.36</v>
      </c>
      <c r="U295" s="3">
        <v>40493</v>
      </c>
    </row>
    <row r="296" spans="1:21">
      <c r="A296" s="2">
        <v>713</v>
      </c>
      <c r="B296" s="2">
        <v>5061</v>
      </c>
      <c r="C296" s="6">
        <v>40403</v>
      </c>
      <c r="D296" s="4" t="s">
        <v>52</v>
      </c>
      <c r="E296" s="2">
        <v>4</v>
      </c>
      <c r="F296" s="5">
        <v>12.8</v>
      </c>
      <c r="G296" s="5">
        <v>0</v>
      </c>
      <c r="H296" s="4" t="s">
        <v>15</v>
      </c>
      <c r="I296" s="5">
        <v>-2.21</v>
      </c>
      <c r="J296" s="2">
        <v>2.88</v>
      </c>
      <c r="K296" s="5">
        <v>0.7</v>
      </c>
      <c r="L296" s="4" t="s">
        <v>724</v>
      </c>
      <c r="M296" s="4" t="s">
        <v>85</v>
      </c>
      <c r="N296" s="4" t="s">
        <v>86</v>
      </c>
      <c r="O296" s="4" t="s">
        <v>27</v>
      </c>
      <c r="P296" s="4" t="s">
        <v>19</v>
      </c>
      <c r="Q296" s="4" t="s">
        <v>48</v>
      </c>
      <c r="R296" s="2" t="s">
        <v>725</v>
      </c>
      <c r="S296" s="4" t="s">
        <v>50</v>
      </c>
      <c r="T296" s="2">
        <v>0.56000000000000005</v>
      </c>
      <c r="U296" s="3">
        <v>40405</v>
      </c>
    </row>
    <row r="297" spans="1:21">
      <c r="A297" s="2">
        <v>714</v>
      </c>
      <c r="B297" s="2">
        <v>5092</v>
      </c>
      <c r="C297" s="6">
        <v>40845</v>
      </c>
      <c r="D297" s="4" t="s">
        <v>14</v>
      </c>
      <c r="E297" s="2">
        <v>3</v>
      </c>
      <c r="F297" s="5">
        <v>709.04</v>
      </c>
      <c r="G297" s="5">
        <v>0.1</v>
      </c>
      <c r="H297" s="4" t="s">
        <v>37</v>
      </c>
      <c r="I297" s="5">
        <v>-337.92</v>
      </c>
      <c r="J297" s="2">
        <v>220.98</v>
      </c>
      <c r="K297" s="5">
        <v>64.66</v>
      </c>
      <c r="L297" s="4" t="s">
        <v>726</v>
      </c>
      <c r="M297" s="4" t="s">
        <v>85</v>
      </c>
      <c r="N297" s="4" t="s">
        <v>86</v>
      </c>
      <c r="O297" s="4" t="s">
        <v>60</v>
      </c>
      <c r="P297" s="4" t="s">
        <v>33</v>
      </c>
      <c r="Q297" s="4" t="s">
        <v>87</v>
      </c>
      <c r="R297" s="2" t="s">
        <v>327</v>
      </c>
      <c r="S297" s="4" t="s">
        <v>39</v>
      </c>
      <c r="T297" s="2">
        <v>0.62</v>
      </c>
      <c r="U297" s="3">
        <v>40845</v>
      </c>
    </row>
    <row r="298" spans="1:21">
      <c r="A298" s="2">
        <v>716</v>
      </c>
      <c r="B298" s="2">
        <v>5094</v>
      </c>
      <c r="C298" s="6">
        <v>40265</v>
      </c>
      <c r="D298" s="4" t="s">
        <v>23</v>
      </c>
      <c r="E298" s="2">
        <v>2</v>
      </c>
      <c r="F298" s="5">
        <v>79.58</v>
      </c>
      <c r="G298" s="5">
        <v>0.06</v>
      </c>
      <c r="H298" s="4" t="s">
        <v>15</v>
      </c>
      <c r="I298" s="5">
        <v>-38.28</v>
      </c>
      <c r="J298" s="2">
        <v>37.44</v>
      </c>
      <c r="K298" s="5">
        <v>4.2699999999999996</v>
      </c>
      <c r="L298" s="4" t="s">
        <v>727</v>
      </c>
      <c r="M298" s="4" t="s">
        <v>74</v>
      </c>
      <c r="N298" s="4" t="s">
        <v>74</v>
      </c>
      <c r="O298" s="4" t="s">
        <v>18</v>
      </c>
      <c r="P298" s="4" t="s">
        <v>19</v>
      </c>
      <c r="Q298" s="4" t="s">
        <v>48</v>
      </c>
      <c r="R298" s="2" t="s">
        <v>728</v>
      </c>
      <c r="S298" s="4" t="s">
        <v>50</v>
      </c>
      <c r="T298" s="2">
        <v>0.46</v>
      </c>
      <c r="U298" s="3">
        <v>40267</v>
      </c>
    </row>
    <row r="299" spans="1:21">
      <c r="A299" s="2">
        <v>717</v>
      </c>
      <c r="B299" s="2">
        <v>5095</v>
      </c>
      <c r="C299" s="6">
        <v>41020</v>
      </c>
      <c r="D299" s="4" t="s">
        <v>31</v>
      </c>
      <c r="E299" s="2">
        <v>7</v>
      </c>
      <c r="F299" s="5">
        <v>786.67499999999995</v>
      </c>
      <c r="G299" s="5">
        <v>0.01</v>
      </c>
      <c r="H299" s="4" t="s">
        <v>15</v>
      </c>
      <c r="I299" s="5">
        <v>-315.02999999999997</v>
      </c>
      <c r="J299" s="2">
        <v>125.99</v>
      </c>
      <c r="K299" s="5">
        <v>8.8000000000000007</v>
      </c>
      <c r="L299" s="4" t="s">
        <v>729</v>
      </c>
      <c r="M299" s="4" t="s">
        <v>47</v>
      </c>
      <c r="N299" s="4" t="s">
        <v>26</v>
      </c>
      <c r="O299" s="4" t="s">
        <v>27</v>
      </c>
      <c r="P299" s="4" t="s">
        <v>40</v>
      </c>
      <c r="Q299" s="4" t="s">
        <v>41</v>
      </c>
      <c r="R299" s="2" t="s">
        <v>400</v>
      </c>
      <c r="S299" s="4" t="s">
        <v>51</v>
      </c>
      <c r="T299" s="2">
        <v>0.59</v>
      </c>
      <c r="U299" s="3">
        <v>41021</v>
      </c>
    </row>
    <row r="300" spans="1:21">
      <c r="A300" s="2">
        <v>720</v>
      </c>
      <c r="B300" s="2">
        <v>5155</v>
      </c>
      <c r="C300" s="6">
        <v>39975</v>
      </c>
      <c r="D300" s="4" t="s">
        <v>31</v>
      </c>
      <c r="E300" s="2">
        <v>14</v>
      </c>
      <c r="F300" s="5">
        <v>569.21</v>
      </c>
      <c r="G300" s="5">
        <v>0.01</v>
      </c>
      <c r="H300" s="4" t="s">
        <v>15</v>
      </c>
      <c r="I300" s="5">
        <v>-38.51</v>
      </c>
      <c r="J300" s="2">
        <v>39.979999999999997</v>
      </c>
      <c r="K300" s="5">
        <v>4</v>
      </c>
      <c r="L300" s="4" t="s">
        <v>730</v>
      </c>
      <c r="M300" s="4" t="s">
        <v>66</v>
      </c>
      <c r="N300" s="4" t="s">
        <v>66</v>
      </c>
      <c r="O300" s="4" t="s">
        <v>27</v>
      </c>
      <c r="P300" s="4" t="s">
        <v>40</v>
      </c>
      <c r="Q300" s="4" t="s">
        <v>45</v>
      </c>
      <c r="R300" s="2" t="s">
        <v>540</v>
      </c>
      <c r="S300" s="4" t="s">
        <v>51</v>
      </c>
      <c r="T300" s="2">
        <v>0.7</v>
      </c>
      <c r="U300" s="3">
        <v>39976</v>
      </c>
    </row>
    <row r="301" spans="1:21">
      <c r="A301" s="2">
        <v>725</v>
      </c>
      <c r="B301" s="2">
        <v>5217</v>
      </c>
      <c r="C301" s="6">
        <v>40828</v>
      </c>
      <c r="D301" s="4" t="s">
        <v>31</v>
      </c>
      <c r="E301" s="2">
        <v>8</v>
      </c>
      <c r="F301" s="5">
        <v>339.35</v>
      </c>
      <c r="G301" s="5">
        <v>0.03</v>
      </c>
      <c r="H301" s="4" t="s">
        <v>64</v>
      </c>
      <c r="I301" s="5">
        <v>27.88</v>
      </c>
      <c r="J301" s="2">
        <v>40.98</v>
      </c>
      <c r="K301" s="5">
        <v>5.33</v>
      </c>
      <c r="L301" s="4" t="s">
        <v>522</v>
      </c>
      <c r="M301" s="4" t="s">
        <v>43</v>
      </c>
      <c r="N301" s="4" t="s">
        <v>44</v>
      </c>
      <c r="O301" s="4" t="s">
        <v>54</v>
      </c>
      <c r="P301" s="4" t="s">
        <v>19</v>
      </c>
      <c r="Q301" s="4" t="s">
        <v>117</v>
      </c>
      <c r="R301" s="2" t="s">
        <v>439</v>
      </c>
      <c r="S301" s="4" t="s">
        <v>51</v>
      </c>
      <c r="T301" s="2">
        <v>0.56999999999999995</v>
      </c>
      <c r="U301" s="3">
        <v>40828</v>
      </c>
    </row>
    <row r="302" spans="1:21">
      <c r="A302" s="2">
        <v>728</v>
      </c>
      <c r="B302" s="2">
        <v>5222</v>
      </c>
      <c r="C302" s="6">
        <v>39959</v>
      </c>
      <c r="D302" s="4" t="s">
        <v>23</v>
      </c>
      <c r="E302" s="2">
        <v>40</v>
      </c>
      <c r="F302" s="5">
        <v>14451.75</v>
      </c>
      <c r="G302" s="5">
        <v>0.01</v>
      </c>
      <c r="H302" s="4" t="s">
        <v>37</v>
      </c>
      <c r="I302" s="5">
        <v>4503.63</v>
      </c>
      <c r="J302" s="2">
        <v>349.45</v>
      </c>
      <c r="K302" s="5">
        <v>60</v>
      </c>
      <c r="L302" s="4" t="s">
        <v>731</v>
      </c>
      <c r="M302" s="4" t="s">
        <v>25</v>
      </c>
      <c r="N302" s="4" t="s">
        <v>26</v>
      </c>
      <c r="O302" s="4" t="s">
        <v>60</v>
      </c>
      <c r="P302" s="4" t="s">
        <v>33</v>
      </c>
      <c r="Q302" s="4" t="s">
        <v>38</v>
      </c>
      <c r="R302" s="2" t="s">
        <v>732</v>
      </c>
      <c r="S302" s="4" t="s">
        <v>121</v>
      </c>
      <c r="T302" s="2"/>
      <c r="U302" s="3">
        <v>39960</v>
      </c>
    </row>
    <row r="303" spans="1:21">
      <c r="A303" s="2">
        <v>730</v>
      </c>
      <c r="B303" s="2">
        <v>5254</v>
      </c>
      <c r="C303" s="6">
        <v>41115</v>
      </c>
      <c r="D303" s="4" t="s">
        <v>23</v>
      </c>
      <c r="E303" s="2">
        <v>31</v>
      </c>
      <c r="F303" s="5">
        <v>1735.3515</v>
      </c>
      <c r="G303" s="5">
        <v>0.08</v>
      </c>
      <c r="H303" s="4" t="s">
        <v>15</v>
      </c>
      <c r="I303" s="5">
        <v>258.62</v>
      </c>
      <c r="J303" s="2">
        <v>65.989999999999995</v>
      </c>
      <c r="K303" s="5">
        <v>8.99</v>
      </c>
      <c r="L303" s="4" t="s">
        <v>733</v>
      </c>
      <c r="M303" s="4" t="s">
        <v>43</v>
      </c>
      <c r="N303" s="4" t="s">
        <v>44</v>
      </c>
      <c r="O303" s="4" t="s">
        <v>27</v>
      </c>
      <c r="P303" s="4" t="s">
        <v>40</v>
      </c>
      <c r="Q303" s="4" t="s">
        <v>41</v>
      </c>
      <c r="R303" s="2">
        <v>5180</v>
      </c>
      <c r="S303" s="4" t="s">
        <v>51</v>
      </c>
      <c r="T303" s="2">
        <v>0.56000000000000005</v>
      </c>
      <c r="U303" s="3">
        <v>41117</v>
      </c>
    </row>
    <row r="304" spans="1:21">
      <c r="A304" s="2">
        <v>731</v>
      </c>
      <c r="B304" s="2">
        <v>5281</v>
      </c>
      <c r="C304" s="6">
        <v>40848</v>
      </c>
      <c r="D304" s="4" t="s">
        <v>31</v>
      </c>
      <c r="E304" s="2">
        <v>36</v>
      </c>
      <c r="F304" s="5">
        <v>4733.7</v>
      </c>
      <c r="G304" s="5">
        <v>0</v>
      </c>
      <c r="H304" s="4" t="s">
        <v>37</v>
      </c>
      <c r="I304" s="5">
        <v>624.36</v>
      </c>
      <c r="J304" s="2">
        <v>120.98</v>
      </c>
      <c r="K304" s="5">
        <v>30</v>
      </c>
      <c r="L304" s="4" t="s">
        <v>734</v>
      </c>
      <c r="M304" s="4" t="s">
        <v>70</v>
      </c>
      <c r="N304" s="4" t="s">
        <v>44</v>
      </c>
      <c r="O304" s="4" t="s">
        <v>60</v>
      </c>
      <c r="P304" s="4" t="s">
        <v>33</v>
      </c>
      <c r="Q304" s="4" t="s">
        <v>172</v>
      </c>
      <c r="R304" s="2" t="s">
        <v>527</v>
      </c>
      <c r="S304" s="4" t="s">
        <v>121</v>
      </c>
      <c r="T304" s="2">
        <v>0.64</v>
      </c>
      <c r="U304" s="3">
        <v>40849</v>
      </c>
    </row>
    <row r="305" spans="1:21">
      <c r="A305" s="2">
        <v>741</v>
      </c>
      <c r="B305" s="2">
        <v>5346</v>
      </c>
      <c r="C305" s="6">
        <v>40537</v>
      </c>
      <c r="D305" s="4" t="s">
        <v>52</v>
      </c>
      <c r="E305" s="2">
        <v>34</v>
      </c>
      <c r="F305" s="5">
        <v>2932.99</v>
      </c>
      <c r="G305" s="5">
        <v>7.0000000000000007E-2</v>
      </c>
      <c r="H305" s="4" t="s">
        <v>15</v>
      </c>
      <c r="I305" s="5">
        <v>-1448.83</v>
      </c>
      <c r="J305" s="2">
        <v>90.98</v>
      </c>
      <c r="K305" s="5">
        <v>56.2</v>
      </c>
      <c r="L305" s="4" t="s">
        <v>735</v>
      </c>
      <c r="M305" s="4" t="s">
        <v>47</v>
      </c>
      <c r="N305" s="4" t="s">
        <v>26</v>
      </c>
      <c r="O305" s="4" t="s">
        <v>54</v>
      </c>
      <c r="P305" s="4" t="s">
        <v>33</v>
      </c>
      <c r="Q305" s="4" t="s">
        <v>34</v>
      </c>
      <c r="R305" s="2" t="s">
        <v>736</v>
      </c>
      <c r="S305" s="4" t="s">
        <v>36</v>
      </c>
      <c r="T305" s="2">
        <v>0.74</v>
      </c>
      <c r="U305" s="3">
        <v>40538</v>
      </c>
    </row>
    <row r="306" spans="1:21">
      <c r="A306" s="2">
        <v>744</v>
      </c>
      <c r="B306" s="2">
        <v>5347</v>
      </c>
      <c r="C306" s="6">
        <v>40595</v>
      </c>
      <c r="D306" s="4" t="s">
        <v>72</v>
      </c>
      <c r="E306" s="2">
        <v>7</v>
      </c>
      <c r="F306" s="5">
        <v>525.55499999999995</v>
      </c>
      <c r="G306" s="5">
        <v>0.04</v>
      </c>
      <c r="H306" s="4" t="s">
        <v>15</v>
      </c>
      <c r="I306" s="5">
        <v>-60.67</v>
      </c>
      <c r="J306" s="2">
        <v>85.99</v>
      </c>
      <c r="K306" s="5">
        <v>1.25</v>
      </c>
      <c r="L306" s="4" t="s">
        <v>738</v>
      </c>
      <c r="M306" s="4" t="s">
        <v>25</v>
      </c>
      <c r="N306" s="4" t="s">
        <v>26</v>
      </c>
      <c r="O306" s="4" t="s">
        <v>27</v>
      </c>
      <c r="P306" s="4" t="s">
        <v>40</v>
      </c>
      <c r="Q306" s="4" t="s">
        <v>41</v>
      </c>
      <c r="R306" s="2" t="s">
        <v>510</v>
      </c>
      <c r="S306" s="4" t="s">
        <v>30</v>
      </c>
      <c r="T306" s="2">
        <v>0.39</v>
      </c>
      <c r="U306" s="3">
        <v>40597</v>
      </c>
    </row>
    <row r="307" spans="1:21">
      <c r="A307" s="2">
        <v>747</v>
      </c>
      <c r="B307" s="2">
        <v>5350</v>
      </c>
      <c r="C307" s="6">
        <v>40460</v>
      </c>
      <c r="D307" s="4" t="s">
        <v>14</v>
      </c>
      <c r="E307" s="2">
        <v>39</v>
      </c>
      <c r="F307" s="5">
        <v>434.73</v>
      </c>
      <c r="G307" s="5">
        <v>0.03</v>
      </c>
      <c r="H307" s="4" t="s">
        <v>15</v>
      </c>
      <c r="I307" s="5">
        <v>-12.2</v>
      </c>
      <c r="J307" s="2">
        <v>11.33</v>
      </c>
      <c r="K307" s="5">
        <v>6.12</v>
      </c>
      <c r="L307" s="4" t="s">
        <v>739</v>
      </c>
      <c r="M307" s="4" t="s">
        <v>25</v>
      </c>
      <c r="N307" s="4" t="s">
        <v>26</v>
      </c>
      <c r="O307" s="4" t="s">
        <v>60</v>
      </c>
      <c r="P307" s="4" t="s">
        <v>19</v>
      </c>
      <c r="Q307" s="4" t="s">
        <v>117</v>
      </c>
      <c r="R307" s="2" t="s">
        <v>740</v>
      </c>
      <c r="S307" s="4" t="s">
        <v>36</v>
      </c>
      <c r="T307" s="2">
        <v>0.42</v>
      </c>
      <c r="U307" s="3">
        <v>40462</v>
      </c>
    </row>
    <row r="308" spans="1:21">
      <c r="A308" s="2">
        <v>755</v>
      </c>
      <c r="B308" s="2">
        <v>5409</v>
      </c>
      <c r="C308" s="6">
        <v>40916</v>
      </c>
      <c r="D308" s="4" t="s">
        <v>14</v>
      </c>
      <c r="E308" s="2">
        <v>11</v>
      </c>
      <c r="F308" s="5">
        <v>48.91</v>
      </c>
      <c r="G308" s="5">
        <v>0.01</v>
      </c>
      <c r="H308" s="4" t="s">
        <v>15</v>
      </c>
      <c r="I308" s="5">
        <v>-7.04</v>
      </c>
      <c r="J308" s="2">
        <v>3.98</v>
      </c>
      <c r="K308" s="5">
        <v>2.97</v>
      </c>
      <c r="L308" s="4" t="s">
        <v>741</v>
      </c>
      <c r="M308" s="4" t="s">
        <v>17</v>
      </c>
      <c r="N308" s="4" t="s">
        <v>17</v>
      </c>
      <c r="O308" s="4" t="s">
        <v>27</v>
      </c>
      <c r="P308" s="4" t="s">
        <v>19</v>
      </c>
      <c r="Q308" s="4" t="s">
        <v>78</v>
      </c>
      <c r="R308" s="2" t="s">
        <v>742</v>
      </c>
      <c r="S308" s="4" t="s">
        <v>50</v>
      </c>
      <c r="T308" s="2">
        <v>0.35</v>
      </c>
      <c r="U308" s="3">
        <v>40921</v>
      </c>
    </row>
    <row r="309" spans="1:21">
      <c r="A309" s="2">
        <v>759</v>
      </c>
      <c r="B309" s="2">
        <v>5444</v>
      </c>
      <c r="C309" s="6">
        <v>40619</v>
      </c>
      <c r="D309" s="4" t="s">
        <v>52</v>
      </c>
      <c r="E309" s="2">
        <v>2</v>
      </c>
      <c r="F309" s="5">
        <v>885.94</v>
      </c>
      <c r="G309" s="5">
        <v>0.08</v>
      </c>
      <c r="H309" s="4" t="s">
        <v>15</v>
      </c>
      <c r="I309" s="5">
        <v>-2024.08</v>
      </c>
      <c r="J309" s="2">
        <v>449.99</v>
      </c>
      <c r="K309" s="5">
        <v>24.49</v>
      </c>
      <c r="L309" s="4" t="s">
        <v>743</v>
      </c>
      <c r="M309" s="4" t="s">
        <v>57</v>
      </c>
      <c r="N309" s="4" t="s">
        <v>57</v>
      </c>
      <c r="O309" s="4" t="s">
        <v>18</v>
      </c>
      <c r="P309" s="4" t="s">
        <v>40</v>
      </c>
      <c r="Q309" s="4" t="s">
        <v>339</v>
      </c>
      <c r="R309" s="2" t="s">
        <v>382</v>
      </c>
      <c r="S309" s="4" t="s">
        <v>22</v>
      </c>
      <c r="T309" s="2">
        <v>0.52</v>
      </c>
      <c r="U309" s="3">
        <v>40621</v>
      </c>
    </row>
    <row r="310" spans="1:21">
      <c r="A310" s="2">
        <v>767</v>
      </c>
      <c r="B310" s="2">
        <v>5504</v>
      </c>
      <c r="C310" s="6">
        <v>40183</v>
      </c>
      <c r="D310" s="4" t="s">
        <v>31</v>
      </c>
      <c r="E310" s="2">
        <v>6</v>
      </c>
      <c r="F310" s="5">
        <v>49.55</v>
      </c>
      <c r="G310" s="5">
        <v>0.06</v>
      </c>
      <c r="H310" s="4" t="s">
        <v>64</v>
      </c>
      <c r="I310" s="5">
        <v>-20.329999999999998</v>
      </c>
      <c r="J310" s="2">
        <v>5.78</v>
      </c>
      <c r="K310" s="5">
        <v>7.64</v>
      </c>
      <c r="L310" s="4" t="s">
        <v>746</v>
      </c>
      <c r="M310" s="4" t="s">
        <v>47</v>
      </c>
      <c r="N310" s="4" t="s">
        <v>26</v>
      </c>
      <c r="O310" s="4" t="s">
        <v>18</v>
      </c>
      <c r="P310" s="4" t="s">
        <v>19</v>
      </c>
      <c r="Q310" s="4" t="s">
        <v>78</v>
      </c>
      <c r="R310" s="2" t="s">
        <v>747</v>
      </c>
      <c r="S310" s="4" t="s">
        <v>51</v>
      </c>
      <c r="T310" s="2">
        <v>0.36</v>
      </c>
      <c r="U310" s="3">
        <v>40185</v>
      </c>
    </row>
    <row r="311" spans="1:21">
      <c r="A311" s="2">
        <v>769</v>
      </c>
      <c r="B311" s="2">
        <v>5506</v>
      </c>
      <c r="C311" s="6">
        <v>40489</v>
      </c>
      <c r="D311" s="4" t="s">
        <v>52</v>
      </c>
      <c r="E311" s="2">
        <v>22</v>
      </c>
      <c r="F311" s="5">
        <v>129.62</v>
      </c>
      <c r="G311" s="5">
        <v>0.05</v>
      </c>
      <c r="H311" s="4" t="s">
        <v>15</v>
      </c>
      <c r="I311" s="5">
        <v>4.41</v>
      </c>
      <c r="J311" s="2">
        <v>5.88</v>
      </c>
      <c r="K311" s="5">
        <v>3.04</v>
      </c>
      <c r="L311" s="4" t="s">
        <v>749</v>
      </c>
      <c r="M311" s="4" t="s">
        <v>17</v>
      </c>
      <c r="N311" s="4" t="s">
        <v>17</v>
      </c>
      <c r="O311" s="4" t="s">
        <v>27</v>
      </c>
      <c r="P311" s="4" t="s">
        <v>19</v>
      </c>
      <c r="Q311" s="4" t="s">
        <v>78</v>
      </c>
      <c r="R311" s="2" t="s">
        <v>705</v>
      </c>
      <c r="S311" s="4" t="s">
        <v>50</v>
      </c>
      <c r="T311" s="2">
        <v>0.36</v>
      </c>
      <c r="U311" s="3">
        <v>40490</v>
      </c>
    </row>
    <row r="312" spans="1:21">
      <c r="A312" s="2">
        <v>783</v>
      </c>
      <c r="B312" s="2">
        <v>5572</v>
      </c>
      <c r="C312" s="6">
        <v>40010</v>
      </c>
      <c r="D312" s="4" t="s">
        <v>31</v>
      </c>
      <c r="E312" s="2">
        <v>37</v>
      </c>
      <c r="F312" s="5">
        <v>288.55</v>
      </c>
      <c r="G312" s="5">
        <v>0.03</v>
      </c>
      <c r="H312" s="4" t="s">
        <v>15</v>
      </c>
      <c r="I312" s="5">
        <v>-133.69999999999999</v>
      </c>
      <c r="J312" s="2">
        <v>7.37</v>
      </c>
      <c r="K312" s="5">
        <v>5.53</v>
      </c>
      <c r="L312" s="4" t="s">
        <v>752</v>
      </c>
      <c r="M312" s="4" t="s">
        <v>57</v>
      </c>
      <c r="N312" s="4" t="s">
        <v>57</v>
      </c>
      <c r="O312" s="4" t="s">
        <v>27</v>
      </c>
      <c r="P312" s="4" t="s">
        <v>40</v>
      </c>
      <c r="Q312" s="4" t="s">
        <v>45</v>
      </c>
      <c r="R312" s="2" t="s">
        <v>753</v>
      </c>
      <c r="S312" s="4" t="s">
        <v>30</v>
      </c>
      <c r="T312" s="2">
        <v>0.69</v>
      </c>
      <c r="U312" s="3">
        <v>40012</v>
      </c>
    </row>
    <row r="313" spans="1:21">
      <c r="A313" s="2">
        <v>784</v>
      </c>
      <c r="B313" s="2">
        <v>5575</v>
      </c>
      <c r="C313" s="6">
        <v>40747</v>
      </c>
      <c r="D313" s="4" t="s">
        <v>14</v>
      </c>
      <c r="E313" s="2">
        <v>41</v>
      </c>
      <c r="F313" s="5">
        <v>254.69</v>
      </c>
      <c r="G313" s="5">
        <v>0.06</v>
      </c>
      <c r="H313" s="4" t="s">
        <v>15</v>
      </c>
      <c r="I313" s="5">
        <v>-269.37</v>
      </c>
      <c r="J313" s="2">
        <v>5.98</v>
      </c>
      <c r="K313" s="5">
        <v>10.39</v>
      </c>
      <c r="L313" s="4" t="s">
        <v>754</v>
      </c>
      <c r="M313" s="4" t="s">
        <v>43</v>
      </c>
      <c r="N313" s="4" t="s">
        <v>44</v>
      </c>
      <c r="O313" s="4" t="s">
        <v>27</v>
      </c>
      <c r="P313" s="4" t="s">
        <v>19</v>
      </c>
      <c r="Q313" s="4" t="s">
        <v>78</v>
      </c>
      <c r="R313" s="2" t="s">
        <v>755</v>
      </c>
      <c r="S313" s="4" t="s">
        <v>51</v>
      </c>
      <c r="T313" s="2">
        <v>0.4</v>
      </c>
      <c r="U313" s="3">
        <v>40747</v>
      </c>
    </row>
    <row r="314" spans="1:21">
      <c r="A314" s="2">
        <v>785</v>
      </c>
      <c r="B314" s="2">
        <v>5601</v>
      </c>
      <c r="C314" s="6">
        <v>40913</v>
      </c>
      <c r="D314" s="4" t="s">
        <v>31</v>
      </c>
      <c r="E314" s="2">
        <v>10</v>
      </c>
      <c r="F314" s="5">
        <v>120.53</v>
      </c>
      <c r="G314" s="5">
        <v>0.1</v>
      </c>
      <c r="H314" s="4" t="s">
        <v>15</v>
      </c>
      <c r="I314" s="5">
        <v>49.26</v>
      </c>
      <c r="J314" s="2">
        <v>12.22</v>
      </c>
      <c r="K314" s="5">
        <v>2.85</v>
      </c>
      <c r="L314" s="4" t="s">
        <v>756</v>
      </c>
      <c r="M314" s="4" t="s">
        <v>57</v>
      </c>
      <c r="N314" s="4" t="s">
        <v>57</v>
      </c>
      <c r="O314" s="4" t="s">
        <v>60</v>
      </c>
      <c r="P314" s="4" t="s">
        <v>33</v>
      </c>
      <c r="Q314" s="4" t="s">
        <v>34</v>
      </c>
      <c r="R314" s="2" t="s">
        <v>757</v>
      </c>
      <c r="S314" s="4" t="s">
        <v>30</v>
      </c>
      <c r="T314" s="2">
        <v>0.55000000000000004</v>
      </c>
      <c r="U314" s="3">
        <v>40914</v>
      </c>
    </row>
    <row r="315" spans="1:21">
      <c r="A315" s="2">
        <v>789</v>
      </c>
      <c r="B315" s="2">
        <v>5636</v>
      </c>
      <c r="C315" s="6">
        <v>40589</v>
      </c>
      <c r="D315" s="4" t="s">
        <v>72</v>
      </c>
      <c r="E315" s="2">
        <v>23</v>
      </c>
      <c r="F315" s="5">
        <v>138.16999999999999</v>
      </c>
      <c r="G315" s="5">
        <v>0</v>
      </c>
      <c r="H315" s="4" t="s">
        <v>15</v>
      </c>
      <c r="I315" s="5">
        <v>-1.0900000000000001</v>
      </c>
      <c r="J315" s="2">
        <v>5.85</v>
      </c>
      <c r="K315" s="5">
        <v>2.27</v>
      </c>
      <c r="L315" s="4" t="s">
        <v>759</v>
      </c>
      <c r="M315" s="4" t="s">
        <v>66</v>
      </c>
      <c r="N315" s="4" t="s">
        <v>66</v>
      </c>
      <c r="O315" s="4" t="s">
        <v>18</v>
      </c>
      <c r="P315" s="4" t="s">
        <v>19</v>
      </c>
      <c r="Q315" s="4" t="s">
        <v>48</v>
      </c>
      <c r="R315" s="2" t="s">
        <v>583</v>
      </c>
      <c r="S315" s="4" t="s">
        <v>50</v>
      </c>
      <c r="T315" s="2">
        <v>0.56000000000000005</v>
      </c>
      <c r="U315" s="3">
        <v>40591</v>
      </c>
    </row>
    <row r="316" spans="1:21">
      <c r="A316" s="2">
        <v>790</v>
      </c>
      <c r="B316" s="2">
        <v>5639</v>
      </c>
      <c r="C316" s="6">
        <v>39965</v>
      </c>
      <c r="D316" s="4" t="s">
        <v>72</v>
      </c>
      <c r="E316" s="2">
        <v>31</v>
      </c>
      <c r="F316" s="5">
        <v>501.38</v>
      </c>
      <c r="G316" s="5">
        <v>0.03</v>
      </c>
      <c r="H316" s="4" t="s">
        <v>15</v>
      </c>
      <c r="I316" s="5">
        <v>-71.95</v>
      </c>
      <c r="J316" s="2">
        <v>15.31</v>
      </c>
      <c r="K316" s="5">
        <v>8.7799999999999994</v>
      </c>
      <c r="L316" s="4" t="s">
        <v>760</v>
      </c>
      <c r="M316" s="4" t="s">
        <v>57</v>
      </c>
      <c r="N316" s="4" t="s">
        <v>57</v>
      </c>
      <c r="O316" s="4" t="s">
        <v>18</v>
      </c>
      <c r="P316" s="4" t="s">
        <v>19</v>
      </c>
      <c r="Q316" s="4" t="s">
        <v>20</v>
      </c>
      <c r="R316" s="2" t="s">
        <v>761</v>
      </c>
      <c r="S316" s="4" t="s">
        <v>51</v>
      </c>
      <c r="T316" s="2">
        <v>0.56999999999999995</v>
      </c>
      <c r="U316" s="3">
        <v>39966</v>
      </c>
    </row>
    <row r="317" spans="1:21">
      <c r="A317" s="2">
        <v>791</v>
      </c>
      <c r="B317" s="2">
        <v>5696</v>
      </c>
      <c r="C317" s="6">
        <v>40666</v>
      </c>
      <c r="D317" s="4" t="s">
        <v>52</v>
      </c>
      <c r="E317" s="2">
        <v>4</v>
      </c>
      <c r="F317" s="5">
        <v>2206.17</v>
      </c>
      <c r="G317" s="5">
        <v>0.02</v>
      </c>
      <c r="H317" s="4" t="s">
        <v>15</v>
      </c>
      <c r="I317" s="5">
        <v>251.43</v>
      </c>
      <c r="J317" s="2">
        <v>525.98</v>
      </c>
      <c r="K317" s="5">
        <v>19.989999999999998</v>
      </c>
      <c r="L317" s="4" t="s">
        <v>762</v>
      </c>
      <c r="M317" s="4" t="s">
        <v>70</v>
      </c>
      <c r="N317" s="4" t="s">
        <v>44</v>
      </c>
      <c r="O317" s="4" t="s">
        <v>60</v>
      </c>
      <c r="P317" s="4" t="s">
        <v>19</v>
      </c>
      <c r="Q317" s="4" t="s">
        <v>111</v>
      </c>
      <c r="R317" s="2" t="s">
        <v>763</v>
      </c>
      <c r="S317" s="4" t="s">
        <v>51</v>
      </c>
      <c r="T317" s="2">
        <v>0.37</v>
      </c>
      <c r="U317" s="3">
        <v>40668</v>
      </c>
    </row>
    <row r="318" spans="1:21">
      <c r="A318" s="2">
        <v>795</v>
      </c>
      <c r="B318" s="2">
        <v>5698</v>
      </c>
      <c r="C318" s="6">
        <v>39953</v>
      </c>
      <c r="D318" s="4" t="s">
        <v>72</v>
      </c>
      <c r="E318" s="2">
        <v>15</v>
      </c>
      <c r="F318" s="5">
        <v>297.05</v>
      </c>
      <c r="G318" s="5">
        <v>0.09</v>
      </c>
      <c r="H318" s="4" t="s">
        <v>15</v>
      </c>
      <c r="I318" s="5">
        <v>-16.89</v>
      </c>
      <c r="J318" s="2">
        <v>20.48</v>
      </c>
      <c r="K318" s="5">
        <v>6.32</v>
      </c>
      <c r="L318" s="4" t="s">
        <v>765</v>
      </c>
      <c r="M318" s="4" t="s">
        <v>47</v>
      </c>
      <c r="N318" s="4" t="s">
        <v>26</v>
      </c>
      <c r="O318" s="4" t="s">
        <v>60</v>
      </c>
      <c r="P318" s="4" t="s">
        <v>19</v>
      </c>
      <c r="Q318" s="4" t="s">
        <v>117</v>
      </c>
      <c r="R318" s="2" t="s">
        <v>766</v>
      </c>
      <c r="S318" s="4" t="s">
        <v>51</v>
      </c>
      <c r="T318" s="2">
        <v>0.57999999999999996</v>
      </c>
      <c r="U318" s="3">
        <v>39954</v>
      </c>
    </row>
    <row r="319" spans="1:21">
      <c r="A319" s="2">
        <v>797</v>
      </c>
      <c r="B319" s="2">
        <v>5699</v>
      </c>
      <c r="C319" s="6">
        <v>41119</v>
      </c>
      <c r="D319" s="4" t="s">
        <v>14</v>
      </c>
      <c r="E319" s="2">
        <v>2</v>
      </c>
      <c r="F319" s="5">
        <v>9.25</v>
      </c>
      <c r="G319" s="5">
        <v>0.01</v>
      </c>
      <c r="H319" s="4" t="s">
        <v>15</v>
      </c>
      <c r="I319" s="5">
        <v>-4.21</v>
      </c>
      <c r="J319" s="2">
        <v>4.13</v>
      </c>
      <c r="K319" s="5">
        <v>0.99</v>
      </c>
      <c r="L319" s="4" t="s">
        <v>767</v>
      </c>
      <c r="M319" s="4" t="s">
        <v>57</v>
      </c>
      <c r="N319" s="4" t="s">
        <v>57</v>
      </c>
      <c r="O319" s="4" t="s">
        <v>18</v>
      </c>
      <c r="P319" s="4" t="s">
        <v>19</v>
      </c>
      <c r="Q319" s="4" t="s">
        <v>75</v>
      </c>
      <c r="R319" s="2" t="s">
        <v>665</v>
      </c>
      <c r="S319" s="4" t="s">
        <v>51</v>
      </c>
      <c r="T319" s="2">
        <v>0.39</v>
      </c>
      <c r="U319" s="3">
        <v>41124</v>
      </c>
    </row>
    <row r="320" spans="1:21">
      <c r="A320" s="2">
        <v>802</v>
      </c>
      <c r="B320" s="2">
        <v>5760</v>
      </c>
      <c r="C320" s="6">
        <v>39957</v>
      </c>
      <c r="D320" s="4" t="s">
        <v>23</v>
      </c>
      <c r="E320" s="2">
        <v>34</v>
      </c>
      <c r="F320" s="5">
        <v>5261.73</v>
      </c>
      <c r="G320" s="5">
        <v>0.05</v>
      </c>
      <c r="H320" s="4" t="s">
        <v>37</v>
      </c>
      <c r="I320" s="5">
        <v>650.29999999999995</v>
      </c>
      <c r="J320" s="2">
        <v>150.97999999999999</v>
      </c>
      <c r="K320" s="5">
        <v>43.71</v>
      </c>
      <c r="L320" s="4" t="s">
        <v>768</v>
      </c>
      <c r="M320" s="4" t="s">
        <v>57</v>
      </c>
      <c r="N320" s="4" t="s">
        <v>57</v>
      </c>
      <c r="O320" s="4" t="s">
        <v>54</v>
      </c>
      <c r="P320" s="4" t="s">
        <v>33</v>
      </c>
      <c r="Q320" s="4" t="s">
        <v>172</v>
      </c>
      <c r="R320" s="2" t="s">
        <v>769</v>
      </c>
      <c r="S320" s="4" t="s">
        <v>121</v>
      </c>
      <c r="T320" s="2">
        <v>0.55000000000000004</v>
      </c>
      <c r="U320" s="3">
        <v>39958</v>
      </c>
    </row>
    <row r="321" spans="1:21">
      <c r="A321" s="2">
        <v>809</v>
      </c>
      <c r="B321" s="2">
        <v>5830</v>
      </c>
      <c r="C321" s="6">
        <v>40261</v>
      </c>
      <c r="D321" s="4" t="s">
        <v>72</v>
      </c>
      <c r="E321" s="2">
        <v>49</v>
      </c>
      <c r="F321" s="5">
        <v>2012.14</v>
      </c>
      <c r="G321" s="5">
        <v>7.0000000000000007E-2</v>
      </c>
      <c r="H321" s="4" t="s">
        <v>15</v>
      </c>
      <c r="I321" s="5">
        <v>241.74</v>
      </c>
      <c r="J321" s="2">
        <v>40.97</v>
      </c>
      <c r="K321" s="5">
        <v>14.45</v>
      </c>
      <c r="L321" s="4" t="s">
        <v>771</v>
      </c>
      <c r="M321" s="4" t="s">
        <v>85</v>
      </c>
      <c r="N321" s="4" t="s">
        <v>86</v>
      </c>
      <c r="O321" s="4" t="s">
        <v>27</v>
      </c>
      <c r="P321" s="4" t="s">
        <v>33</v>
      </c>
      <c r="Q321" s="4" t="s">
        <v>34</v>
      </c>
      <c r="R321" s="2" t="s">
        <v>379</v>
      </c>
      <c r="S321" s="4" t="s">
        <v>22</v>
      </c>
      <c r="T321" s="2">
        <v>0.56999999999999995</v>
      </c>
      <c r="U321" s="3">
        <v>40262</v>
      </c>
    </row>
    <row r="322" spans="1:21">
      <c r="A322" s="2">
        <v>814</v>
      </c>
      <c r="B322" s="2">
        <v>5863</v>
      </c>
      <c r="C322" s="6">
        <v>40503</v>
      </c>
      <c r="D322" s="4" t="s">
        <v>72</v>
      </c>
      <c r="E322" s="2">
        <v>40</v>
      </c>
      <c r="F322" s="5">
        <v>933.21</v>
      </c>
      <c r="G322" s="5">
        <v>0.05</v>
      </c>
      <c r="H322" s="4" t="s">
        <v>15</v>
      </c>
      <c r="I322" s="5">
        <v>207.18</v>
      </c>
      <c r="J322" s="2">
        <v>22.98</v>
      </c>
      <c r="K322" s="5">
        <v>7.58</v>
      </c>
      <c r="L322" s="4" t="s">
        <v>772</v>
      </c>
      <c r="M322" s="4" t="s">
        <v>70</v>
      </c>
      <c r="N322" s="4" t="s">
        <v>44</v>
      </c>
      <c r="O322" s="4" t="s">
        <v>27</v>
      </c>
      <c r="P322" s="4" t="s">
        <v>33</v>
      </c>
      <c r="Q322" s="4" t="s">
        <v>34</v>
      </c>
      <c r="R322" s="2" t="s">
        <v>433</v>
      </c>
      <c r="S322" s="4" t="s">
        <v>51</v>
      </c>
      <c r="T322" s="2">
        <v>0.51</v>
      </c>
      <c r="U322" s="3">
        <v>40504</v>
      </c>
    </row>
    <row r="323" spans="1:21">
      <c r="A323" s="2">
        <v>815</v>
      </c>
      <c r="B323" s="2">
        <v>5890</v>
      </c>
      <c r="C323" s="6">
        <v>41216</v>
      </c>
      <c r="D323" s="4" t="s">
        <v>31</v>
      </c>
      <c r="E323" s="2">
        <v>42</v>
      </c>
      <c r="F323" s="5">
        <v>813.53499999999997</v>
      </c>
      <c r="G323" s="5">
        <v>0</v>
      </c>
      <c r="H323" s="4" t="s">
        <v>64</v>
      </c>
      <c r="I323" s="5">
        <v>435.95</v>
      </c>
      <c r="J323" s="2">
        <v>20.99</v>
      </c>
      <c r="K323" s="5">
        <v>0.99</v>
      </c>
      <c r="L323" s="4" t="s">
        <v>773</v>
      </c>
      <c r="M323" s="4" t="s">
        <v>85</v>
      </c>
      <c r="N323" s="4" t="s">
        <v>86</v>
      </c>
      <c r="O323" s="4" t="s">
        <v>60</v>
      </c>
      <c r="P323" s="4" t="s">
        <v>40</v>
      </c>
      <c r="Q323" s="4" t="s">
        <v>41</v>
      </c>
      <c r="R323" s="2" t="s">
        <v>774</v>
      </c>
      <c r="S323" s="4" t="s">
        <v>50</v>
      </c>
      <c r="T323" s="2">
        <v>0.37</v>
      </c>
      <c r="U323" s="3">
        <v>41217</v>
      </c>
    </row>
    <row r="324" spans="1:21">
      <c r="A324" s="2">
        <v>817</v>
      </c>
      <c r="B324" s="2">
        <v>5894</v>
      </c>
      <c r="C324" s="6">
        <v>40037</v>
      </c>
      <c r="D324" s="4" t="s">
        <v>31</v>
      </c>
      <c r="E324" s="2">
        <v>7</v>
      </c>
      <c r="F324" s="5">
        <v>384.33</v>
      </c>
      <c r="G324" s="5">
        <v>0.1</v>
      </c>
      <c r="H324" s="4" t="s">
        <v>15</v>
      </c>
      <c r="I324" s="5">
        <v>87.68</v>
      </c>
      <c r="J324" s="2">
        <v>58.1</v>
      </c>
      <c r="K324" s="5">
        <v>1.49</v>
      </c>
      <c r="L324" s="4" t="s">
        <v>776</v>
      </c>
      <c r="M324" s="4" t="s">
        <v>17</v>
      </c>
      <c r="N324" s="4" t="s">
        <v>17</v>
      </c>
      <c r="O324" s="4" t="s">
        <v>27</v>
      </c>
      <c r="P324" s="4" t="s">
        <v>19</v>
      </c>
      <c r="Q324" s="4" t="s">
        <v>111</v>
      </c>
      <c r="R324" s="2" t="s">
        <v>777</v>
      </c>
      <c r="S324" s="4" t="s">
        <v>51</v>
      </c>
      <c r="T324" s="2">
        <v>0.38</v>
      </c>
      <c r="U324" s="3">
        <v>40038</v>
      </c>
    </row>
    <row r="325" spans="1:21">
      <c r="A325" s="2">
        <v>819</v>
      </c>
      <c r="B325" s="2">
        <v>5920</v>
      </c>
      <c r="C325" s="6">
        <v>40136</v>
      </c>
      <c r="D325" s="4" t="s">
        <v>31</v>
      </c>
      <c r="E325" s="2">
        <v>4</v>
      </c>
      <c r="F325" s="5">
        <v>582.59</v>
      </c>
      <c r="G325" s="5">
        <v>7.0000000000000007E-2</v>
      </c>
      <c r="H325" s="4" t="s">
        <v>15</v>
      </c>
      <c r="I325" s="5">
        <v>-121.75</v>
      </c>
      <c r="J325" s="2">
        <v>155.06</v>
      </c>
      <c r="K325" s="5">
        <v>7.07</v>
      </c>
      <c r="L325" s="4" t="s">
        <v>778</v>
      </c>
      <c r="M325" s="4" t="s">
        <v>57</v>
      </c>
      <c r="N325" s="4" t="s">
        <v>57</v>
      </c>
      <c r="O325" s="4" t="s">
        <v>60</v>
      </c>
      <c r="P325" s="4" t="s">
        <v>19</v>
      </c>
      <c r="Q325" s="4" t="s">
        <v>20</v>
      </c>
      <c r="R325" s="2" t="s">
        <v>779</v>
      </c>
      <c r="S325" s="4" t="s">
        <v>51</v>
      </c>
      <c r="T325" s="2">
        <v>0.59</v>
      </c>
      <c r="U325" s="3">
        <v>40136</v>
      </c>
    </row>
    <row r="326" spans="1:21">
      <c r="A326" s="2">
        <v>820</v>
      </c>
      <c r="B326" s="2">
        <v>5921</v>
      </c>
      <c r="C326" s="6">
        <v>39909</v>
      </c>
      <c r="D326" s="4" t="s">
        <v>14</v>
      </c>
      <c r="E326" s="2">
        <v>27</v>
      </c>
      <c r="F326" s="5">
        <v>384.74</v>
      </c>
      <c r="G326" s="5">
        <v>0.01</v>
      </c>
      <c r="H326" s="4" t="s">
        <v>64</v>
      </c>
      <c r="I326" s="5">
        <v>2.69</v>
      </c>
      <c r="J326" s="2">
        <v>13.43</v>
      </c>
      <c r="K326" s="5">
        <v>5.5</v>
      </c>
      <c r="L326" s="4" t="s">
        <v>780</v>
      </c>
      <c r="M326" s="4" t="s">
        <v>70</v>
      </c>
      <c r="N326" s="4" t="s">
        <v>44</v>
      </c>
      <c r="O326" s="4" t="s">
        <v>27</v>
      </c>
      <c r="P326" s="4" t="s">
        <v>19</v>
      </c>
      <c r="Q326" s="4" t="s">
        <v>20</v>
      </c>
      <c r="R326" s="2" t="s">
        <v>781</v>
      </c>
      <c r="S326" s="4" t="s">
        <v>51</v>
      </c>
      <c r="T326" s="2">
        <v>0.56999999999999995</v>
      </c>
      <c r="U326" s="3">
        <v>39916</v>
      </c>
    </row>
    <row r="327" spans="1:21">
      <c r="A327" s="2">
        <v>821</v>
      </c>
      <c r="B327" s="2">
        <v>5925</v>
      </c>
      <c r="C327" s="6">
        <v>40859</v>
      </c>
      <c r="D327" s="4" t="s">
        <v>14</v>
      </c>
      <c r="E327" s="2">
        <v>44</v>
      </c>
      <c r="F327" s="5">
        <v>3922.42</v>
      </c>
      <c r="G327" s="5">
        <v>0.08</v>
      </c>
      <c r="H327" s="4" t="s">
        <v>15</v>
      </c>
      <c r="I327" s="5">
        <v>-354.9</v>
      </c>
      <c r="J327" s="2">
        <v>92.23</v>
      </c>
      <c r="K327" s="5">
        <v>39.61</v>
      </c>
      <c r="L327" s="4" t="s">
        <v>782</v>
      </c>
      <c r="M327" s="4" t="s">
        <v>17</v>
      </c>
      <c r="N327" s="4" t="s">
        <v>17</v>
      </c>
      <c r="O327" s="4" t="s">
        <v>54</v>
      </c>
      <c r="P327" s="4" t="s">
        <v>33</v>
      </c>
      <c r="Q327" s="4" t="s">
        <v>34</v>
      </c>
      <c r="R327" s="2" t="s">
        <v>783</v>
      </c>
      <c r="S327" s="4" t="s">
        <v>36</v>
      </c>
      <c r="T327" s="2">
        <v>0.67</v>
      </c>
      <c r="U327" s="3">
        <v>40866</v>
      </c>
    </row>
    <row r="328" spans="1:21">
      <c r="A328" s="2">
        <v>832</v>
      </c>
      <c r="B328" s="2">
        <v>5986</v>
      </c>
      <c r="C328" s="6">
        <v>41020</v>
      </c>
      <c r="D328" s="4" t="s">
        <v>31</v>
      </c>
      <c r="E328" s="2">
        <v>48</v>
      </c>
      <c r="F328" s="5">
        <v>5556.18</v>
      </c>
      <c r="G328" s="5">
        <v>0.08</v>
      </c>
      <c r="H328" s="4" t="s">
        <v>15</v>
      </c>
      <c r="I328" s="5">
        <v>1638.48</v>
      </c>
      <c r="J328" s="2">
        <v>120.98</v>
      </c>
      <c r="K328" s="5">
        <v>3.99</v>
      </c>
      <c r="L328" s="4" t="s">
        <v>784</v>
      </c>
      <c r="M328" s="4" t="s">
        <v>57</v>
      </c>
      <c r="N328" s="4" t="s">
        <v>57</v>
      </c>
      <c r="O328" s="4" t="s">
        <v>18</v>
      </c>
      <c r="P328" s="4" t="s">
        <v>19</v>
      </c>
      <c r="Q328" s="4" t="s">
        <v>117</v>
      </c>
      <c r="R328" s="2" t="s">
        <v>785</v>
      </c>
      <c r="S328" s="4" t="s">
        <v>51</v>
      </c>
      <c r="T328" s="2">
        <v>0.6</v>
      </c>
      <c r="U328" s="3">
        <v>41020</v>
      </c>
    </row>
    <row r="329" spans="1:21">
      <c r="A329" s="2">
        <v>836</v>
      </c>
      <c r="B329" s="2">
        <v>5989</v>
      </c>
      <c r="C329" s="6">
        <v>40830</v>
      </c>
      <c r="D329" s="4" t="s">
        <v>72</v>
      </c>
      <c r="E329" s="2">
        <v>6</v>
      </c>
      <c r="F329" s="5">
        <v>155.47999999999999</v>
      </c>
      <c r="G329" s="5">
        <v>0.1</v>
      </c>
      <c r="H329" s="4" t="s">
        <v>15</v>
      </c>
      <c r="I329" s="5">
        <v>-6.64</v>
      </c>
      <c r="J329" s="2">
        <v>25.98</v>
      </c>
      <c r="K329" s="5">
        <v>5.37</v>
      </c>
      <c r="L329" s="4" t="s">
        <v>786</v>
      </c>
      <c r="M329" s="4" t="s">
        <v>74</v>
      </c>
      <c r="N329" s="4" t="s">
        <v>74</v>
      </c>
      <c r="O329" s="4" t="s">
        <v>27</v>
      </c>
      <c r="P329" s="4" t="s">
        <v>19</v>
      </c>
      <c r="Q329" s="4" t="s">
        <v>117</v>
      </c>
      <c r="R329" s="2" t="s">
        <v>787</v>
      </c>
      <c r="S329" s="4" t="s">
        <v>36</v>
      </c>
      <c r="T329" s="2">
        <v>0.5</v>
      </c>
      <c r="U329" s="3">
        <v>40832</v>
      </c>
    </row>
    <row r="330" spans="1:21">
      <c r="A330" s="2">
        <v>838</v>
      </c>
      <c r="B330" s="2">
        <v>5990</v>
      </c>
      <c r="C330" s="6">
        <v>40275</v>
      </c>
      <c r="D330" s="4" t="s">
        <v>52</v>
      </c>
      <c r="E330" s="2">
        <v>9</v>
      </c>
      <c r="F330" s="5">
        <v>63.91</v>
      </c>
      <c r="G330" s="5">
        <v>0.06</v>
      </c>
      <c r="H330" s="4" t="s">
        <v>15</v>
      </c>
      <c r="I330" s="5">
        <v>-27.78</v>
      </c>
      <c r="J330" s="2">
        <v>6.48</v>
      </c>
      <c r="K330" s="5">
        <v>6.35</v>
      </c>
      <c r="L330" s="4" t="s">
        <v>788</v>
      </c>
      <c r="M330" s="4" t="s">
        <v>74</v>
      </c>
      <c r="N330" s="4" t="s">
        <v>74</v>
      </c>
      <c r="O330" s="4" t="s">
        <v>54</v>
      </c>
      <c r="P330" s="4" t="s">
        <v>19</v>
      </c>
      <c r="Q330" s="4" t="s">
        <v>78</v>
      </c>
      <c r="R330" s="2" t="s">
        <v>789</v>
      </c>
      <c r="S330" s="4" t="s">
        <v>51</v>
      </c>
      <c r="T330" s="2">
        <v>0.37</v>
      </c>
      <c r="U330" s="3">
        <v>40276</v>
      </c>
    </row>
    <row r="331" spans="1:21">
      <c r="A331" s="2">
        <v>839</v>
      </c>
      <c r="B331" s="2">
        <v>6016</v>
      </c>
      <c r="C331" s="6">
        <v>40928</v>
      </c>
      <c r="D331" s="4" t="s">
        <v>31</v>
      </c>
      <c r="E331" s="2">
        <v>19</v>
      </c>
      <c r="F331" s="5">
        <v>208.28</v>
      </c>
      <c r="G331" s="5">
        <v>7.0000000000000007E-2</v>
      </c>
      <c r="H331" s="4" t="s">
        <v>15</v>
      </c>
      <c r="I331" s="5">
        <v>3.63</v>
      </c>
      <c r="J331" s="2">
        <v>11.48</v>
      </c>
      <c r="K331" s="5">
        <v>5.43</v>
      </c>
      <c r="L331" s="4" t="s">
        <v>790</v>
      </c>
      <c r="M331" s="4" t="s">
        <v>17</v>
      </c>
      <c r="N331" s="4" t="s">
        <v>17</v>
      </c>
      <c r="O331" s="4" t="s">
        <v>54</v>
      </c>
      <c r="P331" s="4" t="s">
        <v>19</v>
      </c>
      <c r="Q331" s="4" t="s">
        <v>78</v>
      </c>
      <c r="R331" s="2" t="s">
        <v>791</v>
      </c>
      <c r="S331" s="4" t="s">
        <v>51</v>
      </c>
      <c r="T331" s="2">
        <v>0.36</v>
      </c>
      <c r="U331" s="3">
        <v>40928</v>
      </c>
    </row>
    <row r="332" spans="1:21">
      <c r="A332" s="2">
        <v>840</v>
      </c>
      <c r="B332" s="2">
        <v>6018</v>
      </c>
      <c r="C332" s="6">
        <v>41139</v>
      </c>
      <c r="D332" s="4" t="s">
        <v>14</v>
      </c>
      <c r="E332" s="2">
        <v>39</v>
      </c>
      <c r="F332" s="5">
        <v>206.09</v>
      </c>
      <c r="G332" s="5">
        <v>0</v>
      </c>
      <c r="H332" s="4" t="s">
        <v>15</v>
      </c>
      <c r="I332" s="5">
        <v>36.04</v>
      </c>
      <c r="J332" s="2">
        <v>5.08</v>
      </c>
      <c r="K332" s="5">
        <v>2.0299999999999998</v>
      </c>
      <c r="L332" s="4" t="s">
        <v>792</v>
      </c>
      <c r="M332" s="4" t="s">
        <v>43</v>
      </c>
      <c r="N332" s="4" t="s">
        <v>44</v>
      </c>
      <c r="O332" s="4" t="s">
        <v>54</v>
      </c>
      <c r="P332" s="4" t="s">
        <v>33</v>
      </c>
      <c r="Q332" s="4" t="s">
        <v>34</v>
      </c>
      <c r="R332" s="2" t="s">
        <v>793</v>
      </c>
      <c r="S332" s="4" t="s">
        <v>50</v>
      </c>
      <c r="T332" s="2">
        <v>0.51</v>
      </c>
      <c r="U332" s="3">
        <v>41141</v>
      </c>
    </row>
    <row r="333" spans="1:21">
      <c r="A333" s="2">
        <v>842</v>
      </c>
      <c r="B333" s="2">
        <v>6020</v>
      </c>
      <c r="C333" s="6">
        <v>40077</v>
      </c>
      <c r="D333" s="4" t="s">
        <v>72</v>
      </c>
      <c r="E333" s="2">
        <v>23</v>
      </c>
      <c r="F333" s="5">
        <v>66.09</v>
      </c>
      <c r="G333" s="5">
        <v>0.09</v>
      </c>
      <c r="H333" s="4" t="s">
        <v>15</v>
      </c>
      <c r="I333" s="5">
        <v>13.71</v>
      </c>
      <c r="J333" s="2">
        <v>2.88</v>
      </c>
      <c r="K333" s="5">
        <v>0.99</v>
      </c>
      <c r="L333" s="4" t="s">
        <v>794</v>
      </c>
      <c r="M333" s="4" t="s">
        <v>43</v>
      </c>
      <c r="N333" s="4" t="s">
        <v>44</v>
      </c>
      <c r="O333" s="4" t="s">
        <v>27</v>
      </c>
      <c r="P333" s="4" t="s">
        <v>19</v>
      </c>
      <c r="Q333" s="4" t="s">
        <v>75</v>
      </c>
      <c r="R333" s="2" t="s">
        <v>625</v>
      </c>
      <c r="S333" s="4" t="s">
        <v>51</v>
      </c>
      <c r="T333" s="2">
        <v>0.36</v>
      </c>
      <c r="U333" s="3">
        <v>40079</v>
      </c>
    </row>
    <row r="334" spans="1:21">
      <c r="A334" s="2">
        <v>843</v>
      </c>
      <c r="B334" s="2">
        <v>6050</v>
      </c>
      <c r="C334" s="6">
        <v>40265</v>
      </c>
      <c r="D334" s="4" t="s">
        <v>14</v>
      </c>
      <c r="E334" s="2">
        <v>3</v>
      </c>
      <c r="F334" s="5">
        <v>261.94</v>
      </c>
      <c r="G334" s="5">
        <v>0.06</v>
      </c>
      <c r="H334" s="4" t="s">
        <v>37</v>
      </c>
      <c r="I334" s="5">
        <v>-219.78</v>
      </c>
      <c r="J334" s="2">
        <v>80.97</v>
      </c>
      <c r="K334" s="5">
        <v>33.6</v>
      </c>
      <c r="L334" s="4" t="s">
        <v>795</v>
      </c>
      <c r="M334" s="4" t="s">
        <v>66</v>
      </c>
      <c r="N334" s="4" t="s">
        <v>66</v>
      </c>
      <c r="O334" s="4" t="s">
        <v>18</v>
      </c>
      <c r="P334" s="4" t="s">
        <v>40</v>
      </c>
      <c r="Q334" s="4" t="s">
        <v>81</v>
      </c>
      <c r="R334" s="2" t="s">
        <v>796</v>
      </c>
      <c r="S334" s="4" t="s">
        <v>121</v>
      </c>
      <c r="T334" s="2">
        <v>0.37</v>
      </c>
      <c r="U334" s="3">
        <v>40272</v>
      </c>
    </row>
    <row r="335" spans="1:21">
      <c r="A335" s="2">
        <v>848</v>
      </c>
      <c r="B335" s="2">
        <v>6086</v>
      </c>
      <c r="C335" s="6">
        <v>40808</v>
      </c>
      <c r="D335" s="4" t="s">
        <v>52</v>
      </c>
      <c r="E335" s="2">
        <v>48</v>
      </c>
      <c r="F335" s="5">
        <v>1734.72</v>
      </c>
      <c r="G335" s="5">
        <v>0.04</v>
      </c>
      <c r="H335" s="4" t="s">
        <v>15</v>
      </c>
      <c r="I335" s="5">
        <v>57.89</v>
      </c>
      <c r="J335" s="2">
        <v>35.44</v>
      </c>
      <c r="K335" s="5">
        <v>19.989999999999998</v>
      </c>
      <c r="L335" s="4" t="s">
        <v>797</v>
      </c>
      <c r="M335" s="4" t="s">
        <v>66</v>
      </c>
      <c r="N335" s="4" t="s">
        <v>66</v>
      </c>
      <c r="O335" s="4" t="s">
        <v>27</v>
      </c>
      <c r="P335" s="4" t="s">
        <v>19</v>
      </c>
      <c r="Q335" s="4" t="s">
        <v>78</v>
      </c>
      <c r="R335" s="2" t="s">
        <v>770</v>
      </c>
      <c r="S335" s="4" t="s">
        <v>51</v>
      </c>
      <c r="T335" s="2">
        <v>0.38</v>
      </c>
      <c r="U335" s="3">
        <v>40810</v>
      </c>
    </row>
    <row r="336" spans="1:21">
      <c r="A336" s="2">
        <v>868</v>
      </c>
      <c r="B336" s="2">
        <v>6241</v>
      </c>
      <c r="C336" s="6">
        <v>40176</v>
      </c>
      <c r="D336" s="4" t="s">
        <v>14</v>
      </c>
      <c r="E336" s="2">
        <v>24</v>
      </c>
      <c r="F336" s="5">
        <v>133.94</v>
      </c>
      <c r="G336" s="5">
        <v>0.08</v>
      </c>
      <c r="H336" s="4" t="s">
        <v>64</v>
      </c>
      <c r="I336" s="5">
        <v>45</v>
      </c>
      <c r="J336" s="2">
        <v>5.84</v>
      </c>
      <c r="K336" s="5">
        <v>1</v>
      </c>
      <c r="L336" s="4" t="s">
        <v>799</v>
      </c>
      <c r="M336" s="4" t="s">
        <v>70</v>
      </c>
      <c r="N336" s="4" t="s">
        <v>44</v>
      </c>
      <c r="O336" s="4" t="s">
        <v>18</v>
      </c>
      <c r="P336" s="4" t="s">
        <v>19</v>
      </c>
      <c r="Q336" s="4" t="s">
        <v>48</v>
      </c>
      <c r="R336" s="2" t="s">
        <v>800</v>
      </c>
      <c r="S336" s="4" t="s">
        <v>50</v>
      </c>
      <c r="T336" s="2">
        <v>0.38</v>
      </c>
      <c r="U336" s="3">
        <v>40181</v>
      </c>
    </row>
    <row r="337" spans="1:21">
      <c r="A337" s="2">
        <v>877</v>
      </c>
      <c r="B337" s="2">
        <v>6304</v>
      </c>
      <c r="C337" s="6">
        <v>40766</v>
      </c>
      <c r="D337" s="4" t="s">
        <v>31</v>
      </c>
      <c r="E337" s="2">
        <v>30</v>
      </c>
      <c r="F337" s="5">
        <v>199.11</v>
      </c>
      <c r="G337" s="5">
        <v>0.01</v>
      </c>
      <c r="H337" s="4" t="s">
        <v>15</v>
      </c>
      <c r="I337" s="5">
        <v>-83.33</v>
      </c>
      <c r="J337" s="2">
        <v>6.48</v>
      </c>
      <c r="K337" s="5">
        <v>6.65</v>
      </c>
      <c r="L337" s="4" t="s">
        <v>802</v>
      </c>
      <c r="M337" s="4" t="s">
        <v>25</v>
      </c>
      <c r="N337" s="4" t="s">
        <v>26</v>
      </c>
      <c r="O337" s="4" t="s">
        <v>27</v>
      </c>
      <c r="P337" s="4" t="s">
        <v>19</v>
      </c>
      <c r="Q337" s="4" t="s">
        <v>78</v>
      </c>
      <c r="R337" s="2" t="s">
        <v>745</v>
      </c>
      <c r="S337" s="4" t="s">
        <v>51</v>
      </c>
      <c r="T337" s="2">
        <v>0.36</v>
      </c>
      <c r="U337" s="3">
        <v>40768</v>
      </c>
    </row>
    <row r="338" spans="1:21">
      <c r="A338" s="2">
        <v>879</v>
      </c>
      <c r="B338" s="2">
        <v>6310</v>
      </c>
      <c r="C338" s="6">
        <v>39936</v>
      </c>
      <c r="D338" s="4" t="s">
        <v>23</v>
      </c>
      <c r="E338" s="2">
        <v>27</v>
      </c>
      <c r="F338" s="5">
        <v>216.95</v>
      </c>
      <c r="G338" s="5">
        <v>0.08</v>
      </c>
      <c r="H338" s="4" t="s">
        <v>15</v>
      </c>
      <c r="I338" s="5">
        <v>-88.82</v>
      </c>
      <c r="J338" s="2">
        <v>8.09</v>
      </c>
      <c r="K338" s="5">
        <v>7.96</v>
      </c>
      <c r="L338" s="4" t="s">
        <v>803</v>
      </c>
      <c r="M338" s="4" t="s">
        <v>25</v>
      </c>
      <c r="N338" s="4" t="s">
        <v>26</v>
      </c>
      <c r="O338" s="4" t="s">
        <v>60</v>
      </c>
      <c r="P338" s="4" t="s">
        <v>33</v>
      </c>
      <c r="Q338" s="4" t="s">
        <v>34</v>
      </c>
      <c r="R338" s="2" t="s">
        <v>804</v>
      </c>
      <c r="S338" s="4" t="s">
        <v>51</v>
      </c>
      <c r="T338" s="2">
        <v>0.49</v>
      </c>
      <c r="U338" s="3">
        <v>39937</v>
      </c>
    </row>
    <row r="339" spans="1:21">
      <c r="A339" s="2">
        <v>881</v>
      </c>
      <c r="B339" s="2">
        <v>6336</v>
      </c>
      <c r="C339" s="6">
        <v>40783</v>
      </c>
      <c r="D339" s="4" t="s">
        <v>31</v>
      </c>
      <c r="E339" s="2">
        <v>43</v>
      </c>
      <c r="F339" s="5">
        <v>320.26</v>
      </c>
      <c r="G339" s="5">
        <v>0.01</v>
      </c>
      <c r="H339" s="4" t="s">
        <v>64</v>
      </c>
      <c r="I339" s="5">
        <v>-84.13</v>
      </c>
      <c r="J339" s="2">
        <v>7.1</v>
      </c>
      <c r="K339" s="5">
        <v>6.05</v>
      </c>
      <c r="L339" s="4" t="s">
        <v>805</v>
      </c>
      <c r="M339" s="4" t="s">
        <v>43</v>
      </c>
      <c r="N339" s="4" t="s">
        <v>44</v>
      </c>
      <c r="O339" s="4" t="s">
        <v>54</v>
      </c>
      <c r="P339" s="4" t="s">
        <v>19</v>
      </c>
      <c r="Q339" s="4" t="s">
        <v>111</v>
      </c>
      <c r="R339" s="2" t="s">
        <v>657</v>
      </c>
      <c r="S339" s="4" t="s">
        <v>51</v>
      </c>
      <c r="T339" s="2">
        <v>0.39</v>
      </c>
      <c r="U339" s="3">
        <v>40785</v>
      </c>
    </row>
    <row r="340" spans="1:21">
      <c r="A340" s="2">
        <v>888</v>
      </c>
      <c r="B340" s="2">
        <v>6374</v>
      </c>
      <c r="C340" s="6">
        <v>40762</v>
      </c>
      <c r="D340" s="4" t="s">
        <v>52</v>
      </c>
      <c r="E340" s="2">
        <v>29</v>
      </c>
      <c r="F340" s="5">
        <v>857.42</v>
      </c>
      <c r="G340" s="5">
        <v>7.0000000000000007E-2</v>
      </c>
      <c r="H340" s="4" t="s">
        <v>64</v>
      </c>
      <c r="I340" s="5">
        <v>51.18</v>
      </c>
      <c r="J340" s="2">
        <v>31.11</v>
      </c>
      <c r="K340" s="5">
        <v>3.6</v>
      </c>
      <c r="L340" s="4" t="s">
        <v>807</v>
      </c>
      <c r="M340" s="4" t="s">
        <v>47</v>
      </c>
      <c r="N340" s="4" t="s">
        <v>26</v>
      </c>
      <c r="O340" s="4" t="s">
        <v>27</v>
      </c>
      <c r="P340" s="4" t="s">
        <v>40</v>
      </c>
      <c r="Q340" s="4" t="s">
        <v>45</v>
      </c>
      <c r="R340" s="2" t="s">
        <v>808</v>
      </c>
      <c r="S340" s="4" t="s">
        <v>30</v>
      </c>
      <c r="T340" s="2">
        <v>0.64</v>
      </c>
      <c r="U340" s="3">
        <v>40763</v>
      </c>
    </row>
    <row r="341" spans="1:21">
      <c r="A341" s="2">
        <v>890</v>
      </c>
      <c r="B341" s="2">
        <v>6402</v>
      </c>
      <c r="C341" s="6">
        <v>40656</v>
      </c>
      <c r="D341" s="4" t="s">
        <v>14</v>
      </c>
      <c r="E341" s="2">
        <v>35</v>
      </c>
      <c r="F341" s="5">
        <v>373.33</v>
      </c>
      <c r="G341" s="5">
        <v>0.01</v>
      </c>
      <c r="H341" s="4" t="s">
        <v>15</v>
      </c>
      <c r="I341" s="5">
        <v>-22.18</v>
      </c>
      <c r="J341" s="2">
        <v>10.23</v>
      </c>
      <c r="K341" s="5">
        <v>4.68</v>
      </c>
      <c r="L341" s="4" t="s">
        <v>809</v>
      </c>
      <c r="M341" s="4" t="s">
        <v>258</v>
      </c>
      <c r="N341" s="4" t="s">
        <v>86</v>
      </c>
      <c r="O341" s="4" t="s">
        <v>27</v>
      </c>
      <c r="P341" s="4" t="s">
        <v>19</v>
      </c>
      <c r="Q341" s="4" t="s">
        <v>28</v>
      </c>
      <c r="R341" s="2" t="s">
        <v>810</v>
      </c>
      <c r="S341" s="4" t="s">
        <v>30</v>
      </c>
      <c r="T341" s="2">
        <v>0.59</v>
      </c>
      <c r="U341" s="3">
        <v>40661</v>
      </c>
    </row>
    <row r="342" spans="1:21">
      <c r="A342" s="2">
        <v>896</v>
      </c>
      <c r="B342" s="2">
        <v>6438</v>
      </c>
      <c r="C342" s="6">
        <v>40314</v>
      </c>
      <c r="D342" s="4" t="s">
        <v>23</v>
      </c>
      <c r="E342" s="2">
        <v>7</v>
      </c>
      <c r="F342" s="5">
        <v>75.72</v>
      </c>
      <c r="G342" s="5">
        <v>0.02</v>
      </c>
      <c r="H342" s="4" t="s">
        <v>15</v>
      </c>
      <c r="I342" s="5">
        <v>20.29</v>
      </c>
      <c r="J342" s="2">
        <v>9.77</v>
      </c>
      <c r="K342" s="5">
        <v>6.02</v>
      </c>
      <c r="L342" s="4" t="s">
        <v>811</v>
      </c>
      <c r="M342" s="4" t="s">
        <v>57</v>
      </c>
      <c r="N342" s="4" t="s">
        <v>57</v>
      </c>
      <c r="O342" s="4" t="s">
        <v>27</v>
      </c>
      <c r="P342" s="4" t="s">
        <v>33</v>
      </c>
      <c r="Q342" s="4" t="s">
        <v>34</v>
      </c>
      <c r="R342" s="2" t="s">
        <v>812</v>
      </c>
      <c r="S342" s="4" t="s">
        <v>36</v>
      </c>
      <c r="T342" s="2">
        <v>0.48</v>
      </c>
      <c r="U342" s="3">
        <v>40314</v>
      </c>
    </row>
    <row r="343" spans="1:21">
      <c r="A343" s="2">
        <v>898</v>
      </c>
      <c r="B343" s="2">
        <v>6464</v>
      </c>
      <c r="C343" s="6">
        <v>39961</v>
      </c>
      <c r="D343" s="4" t="s">
        <v>72</v>
      </c>
      <c r="E343" s="2">
        <v>1</v>
      </c>
      <c r="F343" s="5">
        <v>57.84</v>
      </c>
      <c r="G343" s="5">
        <v>7.0000000000000007E-2</v>
      </c>
      <c r="H343" s="4" t="s">
        <v>15</v>
      </c>
      <c r="I343" s="5">
        <v>-41.77</v>
      </c>
      <c r="J343" s="2">
        <v>60.97</v>
      </c>
      <c r="K343" s="5">
        <v>4.5</v>
      </c>
      <c r="L343" s="4" t="s">
        <v>813</v>
      </c>
      <c r="M343" s="4" t="s">
        <v>66</v>
      </c>
      <c r="N343" s="4" t="s">
        <v>66</v>
      </c>
      <c r="O343" s="4" t="s">
        <v>60</v>
      </c>
      <c r="P343" s="4" t="s">
        <v>19</v>
      </c>
      <c r="Q343" s="4" t="s">
        <v>117</v>
      </c>
      <c r="R343" s="2" t="s">
        <v>426</v>
      </c>
      <c r="S343" s="4" t="s">
        <v>51</v>
      </c>
      <c r="T343" s="2">
        <v>0.56000000000000005</v>
      </c>
      <c r="U343" s="3">
        <v>39963</v>
      </c>
    </row>
    <row r="344" spans="1:21">
      <c r="A344" s="2">
        <v>900</v>
      </c>
      <c r="B344" s="2">
        <v>6465</v>
      </c>
      <c r="C344" s="6">
        <v>40767</v>
      </c>
      <c r="D344" s="4" t="s">
        <v>14</v>
      </c>
      <c r="E344" s="2">
        <v>36</v>
      </c>
      <c r="F344" s="5">
        <v>240.14</v>
      </c>
      <c r="G344" s="5">
        <v>0.06</v>
      </c>
      <c r="H344" s="4" t="s">
        <v>64</v>
      </c>
      <c r="I344" s="5">
        <v>57.78</v>
      </c>
      <c r="J344" s="2">
        <v>6.88</v>
      </c>
      <c r="K344" s="5">
        <v>2</v>
      </c>
      <c r="L344" s="4" t="s">
        <v>814</v>
      </c>
      <c r="M344" s="4" t="s">
        <v>85</v>
      </c>
      <c r="N344" s="4" t="s">
        <v>86</v>
      </c>
      <c r="O344" s="4" t="s">
        <v>18</v>
      </c>
      <c r="P344" s="4" t="s">
        <v>19</v>
      </c>
      <c r="Q344" s="4" t="s">
        <v>78</v>
      </c>
      <c r="R344" s="2" t="s">
        <v>259</v>
      </c>
      <c r="S344" s="4" t="s">
        <v>50</v>
      </c>
      <c r="T344" s="2">
        <v>0.39</v>
      </c>
      <c r="U344" s="3">
        <v>40774</v>
      </c>
    </row>
    <row r="345" spans="1:21">
      <c r="A345" s="2">
        <v>901</v>
      </c>
      <c r="B345" s="2">
        <v>6498</v>
      </c>
      <c r="C345" s="6">
        <v>39889</v>
      </c>
      <c r="D345" s="4" t="s">
        <v>72</v>
      </c>
      <c r="E345" s="2">
        <v>38</v>
      </c>
      <c r="F345" s="5">
        <v>336.85</v>
      </c>
      <c r="G345" s="5">
        <v>0.01</v>
      </c>
      <c r="H345" s="4" t="s">
        <v>64</v>
      </c>
      <c r="I345" s="5">
        <v>-40.76</v>
      </c>
      <c r="J345" s="2">
        <v>8.1199999999999992</v>
      </c>
      <c r="K345" s="5">
        <v>2.83</v>
      </c>
      <c r="L345" s="4" t="s">
        <v>815</v>
      </c>
      <c r="M345" s="4" t="s">
        <v>57</v>
      </c>
      <c r="N345" s="4" t="s">
        <v>57</v>
      </c>
      <c r="O345" s="4" t="s">
        <v>54</v>
      </c>
      <c r="P345" s="4" t="s">
        <v>40</v>
      </c>
      <c r="Q345" s="4" t="s">
        <v>45</v>
      </c>
      <c r="R345" s="2" t="s">
        <v>639</v>
      </c>
      <c r="S345" s="4" t="s">
        <v>30</v>
      </c>
      <c r="T345" s="2">
        <v>0.77</v>
      </c>
      <c r="U345" s="3">
        <v>39890</v>
      </c>
    </row>
    <row r="346" spans="1:21">
      <c r="A346" s="2">
        <v>908</v>
      </c>
      <c r="B346" s="2">
        <v>6529</v>
      </c>
      <c r="C346" s="6">
        <v>41239</v>
      </c>
      <c r="D346" s="4" t="s">
        <v>72</v>
      </c>
      <c r="E346" s="2">
        <v>35</v>
      </c>
      <c r="F346" s="5">
        <v>89.71</v>
      </c>
      <c r="G346" s="5">
        <v>0.04</v>
      </c>
      <c r="H346" s="4" t="s">
        <v>15</v>
      </c>
      <c r="I346" s="5">
        <v>20.71</v>
      </c>
      <c r="J346" s="2">
        <v>2.62</v>
      </c>
      <c r="K346" s="5">
        <v>0.8</v>
      </c>
      <c r="L346" s="4" t="s">
        <v>816</v>
      </c>
      <c r="M346" s="4" t="s">
        <v>43</v>
      </c>
      <c r="N346" s="4" t="s">
        <v>44</v>
      </c>
      <c r="O346" s="4" t="s">
        <v>18</v>
      </c>
      <c r="P346" s="4" t="s">
        <v>19</v>
      </c>
      <c r="Q346" s="4" t="s">
        <v>67</v>
      </c>
      <c r="R346" s="2" t="s">
        <v>658</v>
      </c>
      <c r="S346" s="4" t="s">
        <v>50</v>
      </c>
      <c r="T346" s="2">
        <v>0.39</v>
      </c>
      <c r="U346" s="3">
        <v>41241</v>
      </c>
    </row>
    <row r="347" spans="1:21">
      <c r="A347" s="2">
        <v>909</v>
      </c>
      <c r="B347" s="2">
        <v>6531</v>
      </c>
      <c r="C347" s="6">
        <v>40376</v>
      </c>
      <c r="D347" s="4" t="s">
        <v>31</v>
      </c>
      <c r="E347" s="2">
        <v>42</v>
      </c>
      <c r="F347" s="5">
        <v>188.23</v>
      </c>
      <c r="G347" s="5">
        <v>0.05</v>
      </c>
      <c r="H347" s="4" t="s">
        <v>15</v>
      </c>
      <c r="I347" s="5">
        <v>-145.1</v>
      </c>
      <c r="J347" s="2">
        <v>4.37</v>
      </c>
      <c r="K347" s="5">
        <v>5.15</v>
      </c>
      <c r="L347" s="4" t="s">
        <v>817</v>
      </c>
      <c r="M347" s="4" t="s">
        <v>74</v>
      </c>
      <c r="N347" s="4" t="s">
        <v>74</v>
      </c>
      <c r="O347" s="4" t="s">
        <v>54</v>
      </c>
      <c r="P347" s="4" t="s">
        <v>19</v>
      </c>
      <c r="Q347" s="4" t="s">
        <v>117</v>
      </c>
      <c r="R347" s="2" t="s">
        <v>818</v>
      </c>
      <c r="S347" s="4" t="s">
        <v>51</v>
      </c>
      <c r="T347" s="2">
        <v>0.59</v>
      </c>
      <c r="U347" s="3">
        <v>40378</v>
      </c>
    </row>
    <row r="348" spans="1:21">
      <c r="A348" s="2">
        <v>912</v>
      </c>
      <c r="B348" s="2">
        <v>6560</v>
      </c>
      <c r="C348" s="6">
        <v>40547</v>
      </c>
      <c r="D348" s="4" t="s">
        <v>14</v>
      </c>
      <c r="E348" s="2">
        <v>20</v>
      </c>
      <c r="F348" s="5">
        <v>169.18</v>
      </c>
      <c r="G348" s="5">
        <v>0.09</v>
      </c>
      <c r="H348" s="4" t="s">
        <v>15</v>
      </c>
      <c r="I348" s="5">
        <v>-18.73</v>
      </c>
      <c r="J348" s="2">
        <v>8.67</v>
      </c>
      <c r="K348" s="5">
        <v>3.5</v>
      </c>
      <c r="L348" s="4" t="s">
        <v>820</v>
      </c>
      <c r="M348" s="4" t="s">
        <v>43</v>
      </c>
      <c r="N348" s="4" t="s">
        <v>44</v>
      </c>
      <c r="O348" s="4" t="s">
        <v>27</v>
      </c>
      <c r="P348" s="4" t="s">
        <v>19</v>
      </c>
      <c r="Q348" s="4" t="s">
        <v>117</v>
      </c>
      <c r="R348" s="2" t="s">
        <v>615</v>
      </c>
      <c r="S348" s="4" t="s">
        <v>51</v>
      </c>
      <c r="T348" s="2">
        <v>0.57999999999999996</v>
      </c>
      <c r="U348" s="3">
        <v>40551</v>
      </c>
    </row>
    <row r="349" spans="1:21">
      <c r="A349" s="2">
        <v>926</v>
      </c>
      <c r="B349" s="2">
        <v>6695</v>
      </c>
      <c r="C349" s="6">
        <v>41087</v>
      </c>
      <c r="D349" s="4" t="s">
        <v>14</v>
      </c>
      <c r="E349" s="2">
        <v>49</v>
      </c>
      <c r="F349" s="5">
        <v>295.24</v>
      </c>
      <c r="G349" s="5">
        <v>0.08</v>
      </c>
      <c r="H349" s="4" t="s">
        <v>64</v>
      </c>
      <c r="I349" s="5">
        <v>-279.93</v>
      </c>
      <c r="J349" s="2">
        <v>5.81</v>
      </c>
      <c r="K349" s="5">
        <v>8.49</v>
      </c>
      <c r="L349" s="4" t="s">
        <v>823</v>
      </c>
      <c r="M349" s="4" t="s">
        <v>85</v>
      </c>
      <c r="N349" s="4" t="s">
        <v>86</v>
      </c>
      <c r="O349" s="4" t="s">
        <v>27</v>
      </c>
      <c r="P349" s="4" t="s">
        <v>19</v>
      </c>
      <c r="Q349" s="4" t="s">
        <v>111</v>
      </c>
      <c r="R349" s="2" t="s">
        <v>824</v>
      </c>
      <c r="S349" s="4" t="s">
        <v>51</v>
      </c>
      <c r="T349" s="2">
        <v>0.39</v>
      </c>
      <c r="U349" s="3">
        <v>41087</v>
      </c>
    </row>
    <row r="350" spans="1:21">
      <c r="A350" s="2">
        <v>934</v>
      </c>
      <c r="B350" s="2">
        <v>6757</v>
      </c>
      <c r="C350" s="6">
        <v>40940</v>
      </c>
      <c r="D350" s="4" t="s">
        <v>72</v>
      </c>
      <c r="E350" s="2">
        <v>27</v>
      </c>
      <c r="F350" s="5">
        <v>869.78</v>
      </c>
      <c r="G350" s="5">
        <v>0.1</v>
      </c>
      <c r="H350" s="4" t="s">
        <v>15</v>
      </c>
      <c r="I350" s="5">
        <v>43.36</v>
      </c>
      <c r="J350" s="2">
        <v>34.76</v>
      </c>
      <c r="K350" s="5">
        <v>8.2200000000000006</v>
      </c>
      <c r="L350" s="4" t="s">
        <v>825</v>
      </c>
      <c r="M350" s="4" t="s">
        <v>25</v>
      </c>
      <c r="N350" s="4" t="s">
        <v>26</v>
      </c>
      <c r="O350" s="4" t="s">
        <v>18</v>
      </c>
      <c r="P350" s="4" t="s">
        <v>19</v>
      </c>
      <c r="Q350" s="4" t="s">
        <v>20</v>
      </c>
      <c r="R350" s="2" t="s">
        <v>515</v>
      </c>
      <c r="S350" s="4" t="s">
        <v>51</v>
      </c>
      <c r="T350" s="2">
        <v>0.56999999999999995</v>
      </c>
      <c r="U350" s="3">
        <v>40942</v>
      </c>
    </row>
    <row r="351" spans="1:21">
      <c r="A351" s="2">
        <v>939</v>
      </c>
      <c r="B351" s="2">
        <v>6791</v>
      </c>
      <c r="C351" s="6">
        <v>40575</v>
      </c>
      <c r="D351" s="4" t="s">
        <v>72</v>
      </c>
      <c r="E351" s="2">
        <v>14</v>
      </c>
      <c r="F351" s="5">
        <v>730.33</v>
      </c>
      <c r="G351" s="5">
        <v>0.1</v>
      </c>
      <c r="H351" s="4" t="s">
        <v>64</v>
      </c>
      <c r="I351" s="5">
        <v>110.77</v>
      </c>
      <c r="J351" s="2">
        <v>51.98</v>
      </c>
      <c r="K351" s="5">
        <v>10.17</v>
      </c>
      <c r="L351" s="4" t="s">
        <v>826</v>
      </c>
      <c r="M351" s="4" t="s">
        <v>25</v>
      </c>
      <c r="N351" s="4" t="s">
        <v>26</v>
      </c>
      <c r="O351" s="4" t="s">
        <v>18</v>
      </c>
      <c r="P351" s="4" t="s">
        <v>40</v>
      </c>
      <c r="Q351" s="4" t="s">
        <v>81</v>
      </c>
      <c r="R351" s="2" t="s">
        <v>827</v>
      </c>
      <c r="S351" s="4" t="s">
        <v>36</v>
      </c>
      <c r="T351" s="2">
        <v>0.37</v>
      </c>
      <c r="U351" s="3">
        <v>40577</v>
      </c>
    </row>
    <row r="352" spans="1:21">
      <c r="A352" s="2">
        <v>947</v>
      </c>
      <c r="B352" s="2">
        <v>6854</v>
      </c>
      <c r="C352" s="6">
        <v>39819</v>
      </c>
      <c r="D352" s="4" t="s">
        <v>72</v>
      </c>
      <c r="E352" s="2">
        <v>1</v>
      </c>
      <c r="F352" s="5">
        <v>22.13</v>
      </c>
      <c r="G352" s="5">
        <v>7.0000000000000007E-2</v>
      </c>
      <c r="H352" s="4" t="s">
        <v>64</v>
      </c>
      <c r="I352" s="5">
        <v>-2.39</v>
      </c>
      <c r="J352" s="2">
        <v>7.68</v>
      </c>
      <c r="K352" s="5">
        <v>6.16</v>
      </c>
      <c r="L352" s="4" t="s">
        <v>828</v>
      </c>
      <c r="M352" s="4" t="s">
        <v>70</v>
      </c>
      <c r="N352" s="4" t="s">
        <v>44</v>
      </c>
      <c r="O352" s="4" t="s">
        <v>60</v>
      </c>
      <c r="P352" s="4" t="s">
        <v>19</v>
      </c>
      <c r="Q352" s="4" t="s">
        <v>111</v>
      </c>
      <c r="R352" s="2" t="s">
        <v>829</v>
      </c>
      <c r="S352" s="4" t="s">
        <v>51</v>
      </c>
      <c r="T352" s="2">
        <v>0.35</v>
      </c>
      <c r="U352" s="3">
        <v>39821</v>
      </c>
    </row>
    <row r="353" spans="1:21">
      <c r="A353" s="2">
        <v>949</v>
      </c>
      <c r="B353" s="2">
        <v>6880</v>
      </c>
      <c r="C353" s="6">
        <v>39958</v>
      </c>
      <c r="D353" s="4" t="s">
        <v>72</v>
      </c>
      <c r="E353" s="2">
        <v>5</v>
      </c>
      <c r="F353" s="5">
        <v>235.49</v>
      </c>
      <c r="G353" s="5">
        <v>0.06</v>
      </c>
      <c r="H353" s="4" t="s">
        <v>15</v>
      </c>
      <c r="I353" s="5">
        <v>21.78</v>
      </c>
      <c r="J353" s="2">
        <v>47.9</v>
      </c>
      <c r="K353" s="5">
        <v>5.86</v>
      </c>
      <c r="L353" s="4" t="s">
        <v>830</v>
      </c>
      <c r="M353" s="4" t="s">
        <v>74</v>
      </c>
      <c r="N353" s="4" t="s">
        <v>74</v>
      </c>
      <c r="O353" s="4" t="s">
        <v>60</v>
      </c>
      <c r="P353" s="4" t="s">
        <v>19</v>
      </c>
      <c r="Q353" s="4" t="s">
        <v>78</v>
      </c>
      <c r="R353" s="2" t="s">
        <v>518</v>
      </c>
      <c r="S353" s="4" t="s">
        <v>51</v>
      </c>
      <c r="T353" s="2">
        <v>0.37</v>
      </c>
      <c r="U353" s="3">
        <v>39960</v>
      </c>
    </row>
    <row r="354" spans="1:21">
      <c r="A354" s="2">
        <v>957</v>
      </c>
      <c r="B354" s="2">
        <v>6918</v>
      </c>
      <c r="C354" s="6">
        <v>40725</v>
      </c>
      <c r="D354" s="4" t="s">
        <v>52</v>
      </c>
      <c r="E354" s="2">
        <v>38</v>
      </c>
      <c r="F354" s="5">
        <v>1559.5</v>
      </c>
      <c r="G354" s="5">
        <v>0.01</v>
      </c>
      <c r="H354" s="4" t="s">
        <v>15</v>
      </c>
      <c r="I354" s="5">
        <v>515.83000000000004</v>
      </c>
      <c r="J354" s="2">
        <v>39.479999999999997</v>
      </c>
      <c r="K354" s="5">
        <v>1.99</v>
      </c>
      <c r="L354" s="4" t="s">
        <v>831</v>
      </c>
      <c r="M354" s="4" t="s">
        <v>57</v>
      </c>
      <c r="N354" s="4" t="s">
        <v>57</v>
      </c>
      <c r="O354" s="4" t="s">
        <v>60</v>
      </c>
      <c r="P354" s="4" t="s">
        <v>40</v>
      </c>
      <c r="Q354" s="4" t="s">
        <v>45</v>
      </c>
      <c r="R354" s="2" t="s">
        <v>147</v>
      </c>
      <c r="S354" s="4" t="s">
        <v>30</v>
      </c>
      <c r="T354" s="2">
        <v>0.54</v>
      </c>
      <c r="U354" s="3">
        <v>40727</v>
      </c>
    </row>
    <row r="355" spans="1:21">
      <c r="A355" s="2">
        <v>958</v>
      </c>
      <c r="B355" s="2">
        <v>6947</v>
      </c>
      <c r="C355" s="6">
        <v>40743</v>
      </c>
      <c r="D355" s="4" t="s">
        <v>52</v>
      </c>
      <c r="E355" s="2">
        <v>9</v>
      </c>
      <c r="F355" s="5">
        <v>520.49</v>
      </c>
      <c r="G355" s="5">
        <v>0</v>
      </c>
      <c r="H355" s="4" t="s">
        <v>15</v>
      </c>
      <c r="I355" s="5">
        <v>-51.01</v>
      </c>
      <c r="J355" s="2">
        <v>51.65</v>
      </c>
      <c r="K355" s="5">
        <v>18.45</v>
      </c>
      <c r="L355" s="4" t="s">
        <v>832</v>
      </c>
      <c r="M355" s="4" t="s">
        <v>70</v>
      </c>
      <c r="N355" s="4" t="s">
        <v>44</v>
      </c>
      <c r="O355" s="4" t="s">
        <v>18</v>
      </c>
      <c r="P355" s="4" t="s">
        <v>33</v>
      </c>
      <c r="Q355" s="4" t="s">
        <v>34</v>
      </c>
      <c r="R355" s="2" t="s">
        <v>833</v>
      </c>
      <c r="S355" s="4" t="s">
        <v>36</v>
      </c>
      <c r="T355" s="2">
        <v>0.65</v>
      </c>
      <c r="U355" s="3">
        <v>40745</v>
      </c>
    </row>
    <row r="356" spans="1:21">
      <c r="A356" s="2">
        <v>959</v>
      </c>
      <c r="B356" s="2">
        <v>6948</v>
      </c>
      <c r="C356" s="6">
        <v>40521</v>
      </c>
      <c r="D356" s="4" t="s">
        <v>23</v>
      </c>
      <c r="E356" s="2">
        <v>15</v>
      </c>
      <c r="F356" s="5">
        <v>1143.8800000000001</v>
      </c>
      <c r="G356" s="5">
        <v>0.04</v>
      </c>
      <c r="H356" s="4" t="s">
        <v>15</v>
      </c>
      <c r="I356" s="5">
        <v>-88.7</v>
      </c>
      <c r="J356" s="2">
        <v>73.98</v>
      </c>
      <c r="K356" s="5">
        <v>4</v>
      </c>
      <c r="L356" s="4" t="s">
        <v>834</v>
      </c>
      <c r="M356" s="4" t="s">
        <v>57</v>
      </c>
      <c r="N356" s="4" t="s">
        <v>57</v>
      </c>
      <c r="O356" s="4" t="s">
        <v>27</v>
      </c>
      <c r="P356" s="4" t="s">
        <v>40</v>
      </c>
      <c r="Q356" s="4" t="s">
        <v>45</v>
      </c>
      <c r="R356" s="2" t="s">
        <v>616</v>
      </c>
      <c r="S356" s="4" t="s">
        <v>51</v>
      </c>
      <c r="T356" s="2">
        <v>0.79</v>
      </c>
      <c r="U356" s="3">
        <v>40522</v>
      </c>
    </row>
    <row r="357" spans="1:21">
      <c r="A357" s="2">
        <v>960</v>
      </c>
      <c r="B357" s="2">
        <v>6950</v>
      </c>
      <c r="C357" s="6">
        <v>40994</v>
      </c>
      <c r="D357" s="4" t="s">
        <v>14</v>
      </c>
      <c r="E357" s="2">
        <v>4</v>
      </c>
      <c r="F357" s="5">
        <v>187.39949999999999</v>
      </c>
      <c r="G357" s="5">
        <v>0.08</v>
      </c>
      <c r="H357" s="4" t="s">
        <v>15</v>
      </c>
      <c r="I357" s="5">
        <v>-225.3</v>
      </c>
      <c r="J357" s="2">
        <v>55.99</v>
      </c>
      <c r="K357" s="5">
        <v>3.3</v>
      </c>
      <c r="L357" s="4" t="s">
        <v>835</v>
      </c>
      <c r="M357" s="4" t="s">
        <v>66</v>
      </c>
      <c r="N357" s="4" t="s">
        <v>66</v>
      </c>
      <c r="O357" s="4" t="s">
        <v>54</v>
      </c>
      <c r="P357" s="4" t="s">
        <v>40</v>
      </c>
      <c r="Q357" s="4" t="s">
        <v>41</v>
      </c>
      <c r="R357" s="2" t="s">
        <v>836</v>
      </c>
      <c r="S357" s="4" t="s">
        <v>30</v>
      </c>
      <c r="T357" s="2">
        <v>0.59</v>
      </c>
      <c r="U357" s="3">
        <v>40996</v>
      </c>
    </row>
    <row r="358" spans="1:21">
      <c r="A358" s="2">
        <v>969</v>
      </c>
      <c r="B358" s="2">
        <v>7042</v>
      </c>
      <c r="C358" s="6">
        <v>40916</v>
      </c>
      <c r="D358" s="4" t="s">
        <v>72</v>
      </c>
      <c r="E358" s="2">
        <v>4</v>
      </c>
      <c r="F358" s="5">
        <v>1187.864</v>
      </c>
      <c r="G358" s="5">
        <v>7.0000000000000007E-2</v>
      </c>
      <c r="H358" s="4" t="s">
        <v>37</v>
      </c>
      <c r="I358" s="5">
        <v>-347.16</v>
      </c>
      <c r="J358" s="2">
        <v>376.13</v>
      </c>
      <c r="K358" s="5">
        <v>85.63</v>
      </c>
      <c r="L358" s="4" t="s">
        <v>837</v>
      </c>
      <c r="M358" s="4" t="s">
        <v>74</v>
      </c>
      <c r="N358" s="4" t="s">
        <v>74</v>
      </c>
      <c r="O358" s="4" t="s">
        <v>54</v>
      </c>
      <c r="P358" s="4" t="s">
        <v>33</v>
      </c>
      <c r="Q358" s="4" t="s">
        <v>38</v>
      </c>
      <c r="R358" s="2" t="s">
        <v>806</v>
      </c>
      <c r="S358" s="4" t="s">
        <v>39</v>
      </c>
      <c r="T358" s="2">
        <v>0.74</v>
      </c>
      <c r="U358" s="3">
        <v>40918</v>
      </c>
    </row>
    <row r="359" spans="1:21">
      <c r="A359" s="2">
        <v>982</v>
      </c>
      <c r="B359" s="2">
        <v>7106</v>
      </c>
      <c r="C359" s="6">
        <v>41039</v>
      </c>
      <c r="D359" s="4" t="s">
        <v>14</v>
      </c>
      <c r="E359" s="2">
        <v>8</v>
      </c>
      <c r="F359" s="5">
        <v>118.98</v>
      </c>
      <c r="G359" s="5">
        <v>0.05</v>
      </c>
      <c r="H359" s="4" t="s">
        <v>15</v>
      </c>
      <c r="I359" s="5">
        <v>-12.77</v>
      </c>
      <c r="J359" s="2">
        <v>14.27</v>
      </c>
      <c r="K359" s="5">
        <v>7.27</v>
      </c>
      <c r="L359" s="4" t="s">
        <v>841</v>
      </c>
      <c r="M359" s="4" t="s">
        <v>85</v>
      </c>
      <c r="N359" s="4" t="s">
        <v>86</v>
      </c>
      <c r="O359" s="4" t="s">
        <v>54</v>
      </c>
      <c r="P359" s="4" t="s">
        <v>19</v>
      </c>
      <c r="Q359" s="4" t="s">
        <v>111</v>
      </c>
      <c r="R359" s="2" t="s">
        <v>842</v>
      </c>
      <c r="S359" s="4" t="s">
        <v>51</v>
      </c>
      <c r="T359" s="2">
        <v>0.38</v>
      </c>
      <c r="U359" s="3">
        <v>41041</v>
      </c>
    </row>
    <row r="360" spans="1:21">
      <c r="A360" s="2">
        <v>985</v>
      </c>
      <c r="B360" s="2">
        <v>7107</v>
      </c>
      <c r="C360" s="6">
        <v>40912</v>
      </c>
      <c r="D360" s="4" t="s">
        <v>23</v>
      </c>
      <c r="E360" s="2">
        <v>3</v>
      </c>
      <c r="F360" s="5">
        <v>172.04</v>
      </c>
      <c r="G360" s="5">
        <v>0.02</v>
      </c>
      <c r="H360" s="4" t="s">
        <v>15</v>
      </c>
      <c r="I360" s="5">
        <v>143.08000000000001</v>
      </c>
      <c r="J360" s="2">
        <v>54.2</v>
      </c>
      <c r="K360" s="5">
        <v>11.1</v>
      </c>
      <c r="L360" s="4" t="s">
        <v>844</v>
      </c>
      <c r="M360" s="4" t="s">
        <v>70</v>
      </c>
      <c r="N360" s="4" t="s">
        <v>44</v>
      </c>
      <c r="O360" s="4" t="s">
        <v>27</v>
      </c>
      <c r="P360" s="4" t="s">
        <v>33</v>
      </c>
      <c r="Q360" s="4" t="s">
        <v>34</v>
      </c>
      <c r="R360" s="2" t="s">
        <v>845</v>
      </c>
      <c r="S360" s="4" t="s">
        <v>36</v>
      </c>
      <c r="T360" s="2">
        <v>0.64</v>
      </c>
      <c r="U360" s="3">
        <v>40912</v>
      </c>
    </row>
    <row r="361" spans="1:21">
      <c r="A361" s="2">
        <v>994</v>
      </c>
      <c r="B361" s="2">
        <v>7171</v>
      </c>
      <c r="C361" s="6">
        <v>40587</v>
      </c>
      <c r="D361" s="4" t="s">
        <v>72</v>
      </c>
      <c r="E361" s="2">
        <v>28</v>
      </c>
      <c r="F361" s="5">
        <v>1703.8505</v>
      </c>
      <c r="G361" s="5">
        <v>0</v>
      </c>
      <c r="H361" s="4" t="s">
        <v>15</v>
      </c>
      <c r="I361" s="5">
        <v>316.06</v>
      </c>
      <c r="J361" s="2">
        <v>65.989999999999995</v>
      </c>
      <c r="K361" s="5">
        <v>8.99</v>
      </c>
      <c r="L361" s="4" t="s">
        <v>846</v>
      </c>
      <c r="M361" s="4" t="s">
        <v>43</v>
      </c>
      <c r="N361" s="4" t="s">
        <v>44</v>
      </c>
      <c r="O361" s="4" t="s">
        <v>60</v>
      </c>
      <c r="P361" s="4" t="s">
        <v>40</v>
      </c>
      <c r="Q361" s="4" t="s">
        <v>41</v>
      </c>
      <c r="R361" s="2">
        <v>8260</v>
      </c>
      <c r="S361" s="4" t="s">
        <v>51</v>
      </c>
      <c r="T361" s="2">
        <v>0.57999999999999996</v>
      </c>
      <c r="U361" s="3">
        <v>40589</v>
      </c>
    </row>
    <row r="362" spans="1:21">
      <c r="A362" s="2">
        <v>1002</v>
      </c>
      <c r="B362" s="2">
        <v>7297</v>
      </c>
      <c r="C362" s="6">
        <v>40070</v>
      </c>
      <c r="D362" s="4" t="s">
        <v>31</v>
      </c>
      <c r="E362" s="2">
        <v>26</v>
      </c>
      <c r="F362" s="5">
        <v>936.95</v>
      </c>
      <c r="G362" s="5">
        <v>0.03</v>
      </c>
      <c r="H362" s="4" t="s">
        <v>15</v>
      </c>
      <c r="I362" s="5">
        <v>-0.74</v>
      </c>
      <c r="J362" s="2">
        <v>33.979999999999997</v>
      </c>
      <c r="K362" s="5">
        <v>19.989999999999998</v>
      </c>
      <c r="L362" s="4" t="s">
        <v>847</v>
      </c>
      <c r="M362" s="4" t="s">
        <v>57</v>
      </c>
      <c r="N362" s="4" t="s">
        <v>57</v>
      </c>
      <c r="O362" s="4" t="s">
        <v>18</v>
      </c>
      <c r="P362" s="4" t="s">
        <v>33</v>
      </c>
      <c r="Q362" s="4" t="s">
        <v>34</v>
      </c>
      <c r="R362" s="2" t="s">
        <v>848</v>
      </c>
      <c r="S362" s="4" t="s">
        <v>51</v>
      </c>
      <c r="T362" s="2">
        <v>0.55000000000000004</v>
      </c>
      <c r="U362" s="3">
        <v>40071</v>
      </c>
    </row>
    <row r="363" spans="1:21">
      <c r="A363" s="2">
        <v>1008</v>
      </c>
      <c r="B363" s="2">
        <v>7364</v>
      </c>
      <c r="C363" s="6">
        <v>39941</v>
      </c>
      <c r="D363" s="4" t="s">
        <v>31</v>
      </c>
      <c r="E363" s="2">
        <v>15</v>
      </c>
      <c r="F363" s="5">
        <v>260.39</v>
      </c>
      <c r="G363" s="5">
        <v>0.09</v>
      </c>
      <c r="H363" s="4" t="s">
        <v>15</v>
      </c>
      <c r="I363" s="5">
        <v>-48.57</v>
      </c>
      <c r="J363" s="2">
        <v>16.98</v>
      </c>
      <c r="K363" s="5">
        <v>12.39</v>
      </c>
      <c r="L363" s="4" t="s">
        <v>849</v>
      </c>
      <c r="M363" s="4" t="s">
        <v>70</v>
      </c>
      <c r="N363" s="4" t="s">
        <v>44</v>
      </c>
      <c r="O363" s="4" t="s">
        <v>27</v>
      </c>
      <c r="P363" s="4" t="s">
        <v>19</v>
      </c>
      <c r="Q363" s="4" t="s">
        <v>128</v>
      </c>
      <c r="R363" s="2" t="s">
        <v>850</v>
      </c>
      <c r="S363" s="4" t="s">
        <v>51</v>
      </c>
      <c r="T363" s="2">
        <v>0.35</v>
      </c>
      <c r="U363" s="3">
        <v>39943</v>
      </c>
    </row>
    <row r="364" spans="1:21">
      <c r="A364" s="2">
        <v>1019</v>
      </c>
      <c r="B364" s="2">
        <v>7457</v>
      </c>
      <c r="C364" s="6">
        <v>40451</v>
      </c>
      <c r="D364" s="4" t="s">
        <v>23</v>
      </c>
      <c r="E364" s="2">
        <v>36</v>
      </c>
      <c r="F364" s="5">
        <v>2300.4499999999998</v>
      </c>
      <c r="G364" s="5">
        <v>0.02</v>
      </c>
      <c r="H364" s="4" t="s">
        <v>15</v>
      </c>
      <c r="I364" s="5">
        <v>624.64</v>
      </c>
      <c r="J364" s="2">
        <v>60.98</v>
      </c>
      <c r="K364" s="5">
        <v>19.989999999999998</v>
      </c>
      <c r="L364" s="4" t="s">
        <v>853</v>
      </c>
      <c r="M364" s="4" t="s">
        <v>70</v>
      </c>
      <c r="N364" s="4" t="s">
        <v>44</v>
      </c>
      <c r="O364" s="4" t="s">
        <v>18</v>
      </c>
      <c r="P364" s="4" t="s">
        <v>19</v>
      </c>
      <c r="Q364" s="4" t="s">
        <v>128</v>
      </c>
      <c r="R364" s="2" t="s">
        <v>854</v>
      </c>
      <c r="S364" s="4" t="s">
        <v>51</v>
      </c>
      <c r="T364" s="2">
        <v>0.38</v>
      </c>
      <c r="U364" s="3">
        <v>40454</v>
      </c>
    </row>
    <row r="365" spans="1:21">
      <c r="A365" s="2">
        <v>1024</v>
      </c>
      <c r="B365" s="2">
        <v>7461</v>
      </c>
      <c r="C365" s="6">
        <v>39825</v>
      </c>
      <c r="D365" s="4" t="s">
        <v>14</v>
      </c>
      <c r="E365" s="2">
        <v>12</v>
      </c>
      <c r="F365" s="5">
        <v>4080.3</v>
      </c>
      <c r="G365" s="5">
        <v>0.05</v>
      </c>
      <c r="H365" s="4" t="s">
        <v>37</v>
      </c>
      <c r="I365" s="5">
        <v>593.79</v>
      </c>
      <c r="J365" s="2">
        <v>350.99</v>
      </c>
      <c r="K365" s="5">
        <v>39</v>
      </c>
      <c r="L365" s="4" t="s">
        <v>855</v>
      </c>
      <c r="M365" s="4" t="s">
        <v>47</v>
      </c>
      <c r="N365" s="4" t="s">
        <v>26</v>
      </c>
      <c r="O365" s="4" t="s">
        <v>54</v>
      </c>
      <c r="P365" s="4" t="s">
        <v>33</v>
      </c>
      <c r="Q365" s="4" t="s">
        <v>172</v>
      </c>
      <c r="R365" s="2" t="s">
        <v>856</v>
      </c>
      <c r="S365" s="4" t="s">
        <v>121</v>
      </c>
      <c r="T365" s="2">
        <v>0.55000000000000004</v>
      </c>
      <c r="U365" s="3">
        <v>39827</v>
      </c>
    </row>
    <row r="366" spans="1:21">
      <c r="A366" s="2">
        <v>1029</v>
      </c>
      <c r="B366" s="2">
        <v>7489</v>
      </c>
      <c r="C366" s="6">
        <v>40451</v>
      </c>
      <c r="D366" s="4" t="s">
        <v>52</v>
      </c>
      <c r="E366" s="2">
        <v>38</v>
      </c>
      <c r="F366" s="5">
        <v>6900.13</v>
      </c>
      <c r="G366" s="5">
        <v>0.01</v>
      </c>
      <c r="H366" s="4" t="s">
        <v>37</v>
      </c>
      <c r="I366" s="5">
        <v>552.97</v>
      </c>
      <c r="J366" s="2">
        <v>180.98</v>
      </c>
      <c r="K366" s="5">
        <v>23.58</v>
      </c>
      <c r="L366" s="4" t="s">
        <v>857</v>
      </c>
      <c r="M366" s="4" t="s">
        <v>47</v>
      </c>
      <c r="N366" s="4" t="s">
        <v>26</v>
      </c>
      <c r="O366" s="4" t="s">
        <v>54</v>
      </c>
      <c r="P366" s="4" t="s">
        <v>33</v>
      </c>
      <c r="Q366" s="4" t="s">
        <v>87</v>
      </c>
      <c r="R366" s="2" t="s">
        <v>858</v>
      </c>
      <c r="S366" s="4" t="s">
        <v>39</v>
      </c>
      <c r="T366" s="2">
        <v>0.74</v>
      </c>
      <c r="U366" s="3">
        <v>40454</v>
      </c>
    </row>
    <row r="367" spans="1:21">
      <c r="A367" s="2">
        <v>1030</v>
      </c>
      <c r="B367" s="2">
        <v>7521</v>
      </c>
      <c r="C367" s="6">
        <v>40601</v>
      </c>
      <c r="D367" s="4" t="s">
        <v>14</v>
      </c>
      <c r="E367" s="2">
        <v>19</v>
      </c>
      <c r="F367" s="5">
        <v>1942.1735000000001</v>
      </c>
      <c r="G367" s="5">
        <v>0</v>
      </c>
      <c r="H367" s="4" t="s">
        <v>64</v>
      </c>
      <c r="I367" s="5">
        <v>400.82</v>
      </c>
      <c r="J367" s="2">
        <v>115.99</v>
      </c>
      <c r="K367" s="5">
        <v>2.5</v>
      </c>
      <c r="L367" s="4" t="s">
        <v>859</v>
      </c>
      <c r="M367" s="4" t="s">
        <v>57</v>
      </c>
      <c r="N367" s="4" t="s">
        <v>57</v>
      </c>
      <c r="O367" s="4" t="s">
        <v>18</v>
      </c>
      <c r="P367" s="4" t="s">
        <v>40</v>
      </c>
      <c r="Q367" s="4" t="s">
        <v>41</v>
      </c>
      <c r="R367" s="2" t="s">
        <v>597</v>
      </c>
      <c r="S367" s="4" t="s">
        <v>51</v>
      </c>
      <c r="T367" s="2">
        <v>0.55000000000000004</v>
      </c>
      <c r="U367" s="3">
        <v>40607</v>
      </c>
    </row>
    <row r="368" spans="1:21">
      <c r="A368" s="2">
        <v>1039</v>
      </c>
      <c r="B368" s="2">
        <v>7585</v>
      </c>
      <c r="C368" s="6">
        <v>40682</v>
      </c>
      <c r="D368" s="4" t="s">
        <v>31</v>
      </c>
      <c r="E368" s="2">
        <v>34</v>
      </c>
      <c r="F368" s="5">
        <v>650.1395</v>
      </c>
      <c r="G368" s="5">
        <v>0</v>
      </c>
      <c r="H368" s="4" t="s">
        <v>15</v>
      </c>
      <c r="I368" s="5">
        <v>22.57</v>
      </c>
      <c r="J368" s="2">
        <v>20.99</v>
      </c>
      <c r="K368" s="5">
        <v>1.25</v>
      </c>
      <c r="L368" s="4" t="s">
        <v>861</v>
      </c>
      <c r="M368" s="4" t="s">
        <v>25</v>
      </c>
      <c r="N368" s="4" t="s">
        <v>26</v>
      </c>
      <c r="O368" s="4" t="s">
        <v>60</v>
      </c>
      <c r="P368" s="4" t="s">
        <v>40</v>
      </c>
      <c r="Q368" s="4" t="s">
        <v>41</v>
      </c>
      <c r="R368" s="2" t="s">
        <v>862</v>
      </c>
      <c r="S368" s="4" t="s">
        <v>30</v>
      </c>
      <c r="T368" s="2">
        <v>0.83</v>
      </c>
      <c r="U368" s="3">
        <v>40684</v>
      </c>
    </row>
    <row r="369" spans="1:21">
      <c r="A369" s="2">
        <v>1044</v>
      </c>
      <c r="B369" s="2">
        <v>7653</v>
      </c>
      <c r="C369" s="6">
        <v>40966</v>
      </c>
      <c r="D369" s="4" t="s">
        <v>72</v>
      </c>
      <c r="E369" s="2">
        <v>32</v>
      </c>
      <c r="F369" s="5">
        <v>1425.06</v>
      </c>
      <c r="G369" s="5">
        <v>0.1</v>
      </c>
      <c r="H369" s="4" t="s">
        <v>15</v>
      </c>
      <c r="I369" s="5">
        <v>597.30999999999995</v>
      </c>
      <c r="J369" s="2">
        <v>48.04</v>
      </c>
      <c r="K369" s="5">
        <v>5.09</v>
      </c>
      <c r="L369" s="4" t="s">
        <v>863</v>
      </c>
      <c r="M369" s="4" t="s">
        <v>70</v>
      </c>
      <c r="N369" s="4" t="s">
        <v>44</v>
      </c>
      <c r="O369" s="4" t="s">
        <v>60</v>
      </c>
      <c r="P369" s="4" t="s">
        <v>19</v>
      </c>
      <c r="Q369" s="4" t="s">
        <v>78</v>
      </c>
      <c r="R369" s="2" t="s">
        <v>864</v>
      </c>
      <c r="S369" s="4" t="s">
        <v>51</v>
      </c>
      <c r="T369" s="2">
        <v>0.37</v>
      </c>
      <c r="U369" s="3">
        <v>40969</v>
      </c>
    </row>
    <row r="370" spans="1:21">
      <c r="A370" s="2">
        <v>1045</v>
      </c>
      <c r="B370" s="2">
        <v>7654</v>
      </c>
      <c r="C370" s="6">
        <v>40219</v>
      </c>
      <c r="D370" s="4" t="s">
        <v>31</v>
      </c>
      <c r="E370" s="2">
        <v>3</v>
      </c>
      <c r="F370" s="5">
        <v>19.47</v>
      </c>
      <c r="G370" s="5">
        <v>0.06</v>
      </c>
      <c r="H370" s="4" t="s">
        <v>15</v>
      </c>
      <c r="I370" s="5">
        <v>-14.29</v>
      </c>
      <c r="J370" s="2">
        <v>4.13</v>
      </c>
      <c r="K370" s="5">
        <v>6.89</v>
      </c>
      <c r="L370" s="4" t="s">
        <v>865</v>
      </c>
      <c r="M370" s="4" t="s">
        <v>25</v>
      </c>
      <c r="N370" s="4" t="s">
        <v>26</v>
      </c>
      <c r="O370" s="4" t="s">
        <v>18</v>
      </c>
      <c r="P370" s="4" t="s">
        <v>19</v>
      </c>
      <c r="Q370" s="4" t="s">
        <v>75</v>
      </c>
      <c r="R370" s="2" t="s">
        <v>866</v>
      </c>
      <c r="S370" s="4" t="s">
        <v>51</v>
      </c>
      <c r="T370" s="2">
        <v>0.39</v>
      </c>
      <c r="U370" s="3">
        <v>40221</v>
      </c>
    </row>
    <row r="371" spans="1:21">
      <c r="A371" s="2">
        <v>1050</v>
      </c>
      <c r="B371" s="2">
        <v>7746</v>
      </c>
      <c r="C371" s="6">
        <v>40517</v>
      </c>
      <c r="D371" s="4" t="s">
        <v>72</v>
      </c>
      <c r="E371" s="2">
        <v>1</v>
      </c>
      <c r="F371" s="5">
        <v>28.96</v>
      </c>
      <c r="G371" s="5">
        <v>0.06</v>
      </c>
      <c r="H371" s="4" t="s">
        <v>15</v>
      </c>
      <c r="I371" s="5">
        <v>-27.07</v>
      </c>
      <c r="J371" s="2">
        <v>19.98</v>
      </c>
      <c r="K371" s="5">
        <v>8.68</v>
      </c>
      <c r="L371" s="4" t="s">
        <v>867</v>
      </c>
      <c r="M371" s="4" t="s">
        <v>25</v>
      </c>
      <c r="N371" s="4" t="s">
        <v>26</v>
      </c>
      <c r="O371" s="4" t="s">
        <v>60</v>
      </c>
      <c r="P371" s="4" t="s">
        <v>19</v>
      </c>
      <c r="Q371" s="4" t="s">
        <v>78</v>
      </c>
      <c r="R371" s="2" t="s">
        <v>868</v>
      </c>
      <c r="S371" s="4" t="s">
        <v>51</v>
      </c>
      <c r="T371" s="2">
        <v>0.37</v>
      </c>
      <c r="U371" s="3">
        <v>40519</v>
      </c>
    </row>
    <row r="372" spans="1:21">
      <c r="A372" s="2">
        <v>1052</v>
      </c>
      <c r="B372" s="2">
        <v>7776</v>
      </c>
      <c r="C372" s="6">
        <v>39886</v>
      </c>
      <c r="D372" s="4" t="s">
        <v>72</v>
      </c>
      <c r="E372" s="2">
        <v>36</v>
      </c>
      <c r="F372" s="5">
        <v>7223.59</v>
      </c>
      <c r="G372" s="5">
        <v>7.0000000000000007E-2</v>
      </c>
      <c r="H372" s="4" t="s">
        <v>37</v>
      </c>
      <c r="I372" s="5">
        <v>1769.81</v>
      </c>
      <c r="J372" s="2">
        <v>200.98</v>
      </c>
      <c r="K372" s="5">
        <v>23.76</v>
      </c>
      <c r="L372" s="4" t="s">
        <v>870</v>
      </c>
      <c r="M372" s="4" t="s">
        <v>43</v>
      </c>
      <c r="N372" s="4" t="s">
        <v>44</v>
      </c>
      <c r="O372" s="4" t="s">
        <v>27</v>
      </c>
      <c r="P372" s="4" t="s">
        <v>33</v>
      </c>
      <c r="Q372" s="4" t="s">
        <v>172</v>
      </c>
      <c r="R372" s="2" t="s">
        <v>871</v>
      </c>
      <c r="S372" s="4" t="s">
        <v>121</v>
      </c>
      <c r="T372" s="2">
        <v>0.57999999999999996</v>
      </c>
      <c r="U372" s="3">
        <v>39887</v>
      </c>
    </row>
    <row r="373" spans="1:21">
      <c r="A373" s="2">
        <v>1055</v>
      </c>
      <c r="B373" s="2">
        <v>7783</v>
      </c>
      <c r="C373" s="6">
        <v>40920</v>
      </c>
      <c r="D373" s="4" t="s">
        <v>72</v>
      </c>
      <c r="E373" s="2">
        <v>3</v>
      </c>
      <c r="F373" s="5">
        <v>31.35</v>
      </c>
      <c r="G373" s="5">
        <v>0.03</v>
      </c>
      <c r="H373" s="4" t="s">
        <v>15</v>
      </c>
      <c r="I373" s="5">
        <v>-14.62</v>
      </c>
      <c r="J373" s="2">
        <v>8.85</v>
      </c>
      <c r="K373" s="5">
        <v>5.6</v>
      </c>
      <c r="L373" s="4" t="s">
        <v>872</v>
      </c>
      <c r="M373" s="4" t="s">
        <v>70</v>
      </c>
      <c r="N373" s="4" t="s">
        <v>44</v>
      </c>
      <c r="O373" s="4" t="s">
        <v>27</v>
      </c>
      <c r="P373" s="4" t="s">
        <v>19</v>
      </c>
      <c r="Q373" s="4" t="s">
        <v>111</v>
      </c>
      <c r="R373" s="2" t="s">
        <v>838</v>
      </c>
      <c r="S373" s="4" t="s">
        <v>51</v>
      </c>
      <c r="T373" s="2">
        <v>0.36</v>
      </c>
      <c r="U373" s="3">
        <v>40921</v>
      </c>
    </row>
    <row r="374" spans="1:21">
      <c r="A374" s="2">
        <v>1060</v>
      </c>
      <c r="B374" s="2">
        <v>7841</v>
      </c>
      <c r="C374" s="6">
        <v>41049</v>
      </c>
      <c r="D374" s="4" t="s">
        <v>23</v>
      </c>
      <c r="E374" s="2">
        <v>21</v>
      </c>
      <c r="F374" s="5">
        <v>1002.77</v>
      </c>
      <c r="G374" s="5">
        <v>7.0000000000000007E-2</v>
      </c>
      <c r="H374" s="4" t="s">
        <v>15</v>
      </c>
      <c r="I374" s="5">
        <v>295.60000000000002</v>
      </c>
      <c r="J374" s="2">
        <v>49.34</v>
      </c>
      <c r="K374" s="5">
        <v>10.25</v>
      </c>
      <c r="L374" s="4" t="s">
        <v>873</v>
      </c>
      <c r="M374" s="4" t="s">
        <v>57</v>
      </c>
      <c r="N374" s="4" t="s">
        <v>57</v>
      </c>
      <c r="O374" s="4" t="s">
        <v>60</v>
      </c>
      <c r="P374" s="4" t="s">
        <v>33</v>
      </c>
      <c r="Q374" s="4" t="s">
        <v>34</v>
      </c>
      <c r="R374" s="2" t="s">
        <v>874</v>
      </c>
      <c r="S374" s="4" t="s">
        <v>22</v>
      </c>
      <c r="T374" s="2">
        <v>0.56999999999999995</v>
      </c>
      <c r="U374" s="3">
        <v>41051</v>
      </c>
    </row>
    <row r="375" spans="1:21">
      <c r="A375" s="2">
        <v>1071</v>
      </c>
      <c r="B375" s="2">
        <v>7904</v>
      </c>
      <c r="C375" s="6">
        <v>40325</v>
      </c>
      <c r="D375" s="4" t="s">
        <v>14</v>
      </c>
      <c r="E375" s="2">
        <v>47</v>
      </c>
      <c r="F375" s="5">
        <v>298.3</v>
      </c>
      <c r="G375" s="5">
        <v>0.08</v>
      </c>
      <c r="H375" s="4" t="s">
        <v>64</v>
      </c>
      <c r="I375" s="5">
        <v>146.72</v>
      </c>
      <c r="J375" s="2">
        <v>6.3</v>
      </c>
      <c r="K375" s="5">
        <v>0.5</v>
      </c>
      <c r="L375" s="4" t="s">
        <v>877</v>
      </c>
      <c r="M375" s="4" t="s">
        <v>25</v>
      </c>
      <c r="N375" s="4" t="s">
        <v>26</v>
      </c>
      <c r="O375" s="4" t="s">
        <v>27</v>
      </c>
      <c r="P375" s="4" t="s">
        <v>19</v>
      </c>
      <c r="Q375" s="4" t="s">
        <v>75</v>
      </c>
      <c r="R375" s="2" t="s">
        <v>659</v>
      </c>
      <c r="S375" s="4" t="s">
        <v>51</v>
      </c>
      <c r="T375" s="2">
        <v>0.39</v>
      </c>
      <c r="U375" s="3">
        <v>40334</v>
      </c>
    </row>
    <row r="376" spans="1:21">
      <c r="A376" s="2">
        <v>1072</v>
      </c>
      <c r="B376" s="2">
        <v>7905</v>
      </c>
      <c r="C376" s="6">
        <v>39967</v>
      </c>
      <c r="D376" s="4" t="s">
        <v>14</v>
      </c>
      <c r="E376" s="2">
        <v>46</v>
      </c>
      <c r="F376" s="5">
        <v>11057.6</v>
      </c>
      <c r="G376" s="5">
        <v>0.08</v>
      </c>
      <c r="H376" s="4" t="s">
        <v>37</v>
      </c>
      <c r="I376" s="5">
        <v>183.9</v>
      </c>
      <c r="J376" s="2">
        <v>259.70999999999998</v>
      </c>
      <c r="K376" s="5">
        <v>66.67</v>
      </c>
      <c r="L376" s="4" t="s">
        <v>878</v>
      </c>
      <c r="M376" s="4" t="s">
        <v>70</v>
      </c>
      <c r="N376" s="4" t="s">
        <v>44</v>
      </c>
      <c r="O376" s="4" t="s">
        <v>18</v>
      </c>
      <c r="P376" s="4" t="s">
        <v>33</v>
      </c>
      <c r="Q376" s="4" t="s">
        <v>38</v>
      </c>
      <c r="R376" s="2" t="s">
        <v>879</v>
      </c>
      <c r="S376" s="4" t="s">
        <v>39</v>
      </c>
      <c r="T376" s="2">
        <v>0.61</v>
      </c>
      <c r="U376" s="3">
        <v>39971</v>
      </c>
    </row>
    <row r="377" spans="1:21">
      <c r="A377" s="2">
        <v>1075</v>
      </c>
      <c r="B377" s="2">
        <v>7910</v>
      </c>
      <c r="C377" s="6">
        <v>40288</v>
      </c>
      <c r="D377" s="4" t="s">
        <v>52</v>
      </c>
      <c r="E377" s="2">
        <v>41</v>
      </c>
      <c r="F377" s="5">
        <v>1871.13</v>
      </c>
      <c r="G377" s="5">
        <v>0.01</v>
      </c>
      <c r="H377" s="4" t="s">
        <v>15</v>
      </c>
      <c r="I377" s="5">
        <v>346.43</v>
      </c>
      <c r="J377" s="2">
        <v>45.98</v>
      </c>
      <c r="K377" s="5">
        <v>4.8</v>
      </c>
      <c r="L377" s="4" t="s">
        <v>880</v>
      </c>
      <c r="M377" s="4" t="s">
        <v>57</v>
      </c>
      <c r="N377" s="4" t="s">
        <v>57</v>
      </c>
      <c r="O377" s="4" t="s">
        <v>18</v>
      </c>
      <c r="P377" s="4" t="s">
        <v>33</v>
      </c>
      <c r="Q377" s="4" t="s">
        <v>34</v>
      </c>
      <c r="R377" s="2" t="s">
        <v>881</v>
      </c>
      <c r="S377" s="4" t="s">
        <v>50</v>
      </c>
      <c r="T377" s="2">
        <v>0.68</v>
      </c>
      <c r="U377" s="3">
        <v>40291</v>
      </c>
    </row>
    <row r="378" spans="1:21">
      <c r="A378" s="2">
        <v>1083</v>
      </c>
      <c r="B378" s="2">
        <v>7968</v>
      </c>
      <c r="C378" s="6">
        <v>40436</v>
      </c>
      <c r="D378" s="4" t="s">
        <v>14</v>
      </c>
      <c r="E378" s="2">
        <v>10</v>
      </c>
      <c r="F378" s="5">
        <v>1449.21</v>
      </c>
      <c r="G378" s="5">
        <v>0.06</v>
      </c>
      <c r="H378" s="4" t="s">
        <v>37</v>
      </c>
      <c r="I378" s="5">
        <v>-270</v>
      </c>
      <c r="J378" s="2">
        <v>150.97999999999999</v>
      </c>
      <c r="K378" s="5">
        <v>30</v>
      </c>
      <c r="L378" s="4" t="s">
        <v>883</v>
      </c>
      <c r="M378" s="4" t="s">
        <v>47</v>
      </c>
      <c r="N378" s="4" t="s">
        <v>26</v>
      </c>
      <c r="O378" s="4" t="s">
        <v>60</v>
      </c>
      <c r="P378" s="4" t="s">
        <v>33</v>
      </c>
      <c r="Q378" s="4" t="s">
        <v>172</v>
      </c>
      <c r="R378" s="2" t="s">
        <v>884</v>
      </c>
      <c r="S378" s="4" t="s">
        <v>121</v>
      </c>
      <c r="T378" s="2">
        <v>0.74</v>
      </c>
      <c r="U378" s="3">
        <v>40436</v>
      </c>
    </row>
    <row r="379" spans="1:21">
      <c r="A379" s="2">
        <v>1090</v>
      </c>
      <c r="B379" s="2">
        <v>8007</v>
      </c>
      <c r="C379" s="6">
        <v>40950</v>
      </c>
      <c r="D379" s="4" t="s">
        <v>14</v>
      </c>
      <c r="E379" s="2">
        <v>5</v>
      </c>
      <c r="F379" s="5">
        <v>820.56449999999995</v>
      </c>
      <c r="G379" s="5">
        <v>0.09</v>
      </c>
      <c r="H379" s="4" t="s">
        <v>15</v>
      </c>
      <c r="I379" s="5">
        <v>-800.25</v>
      </c>
      <c r="J379" s="2">
        <v>205.99</v>
      </c>
      <c r="K379" s="5">
        <v>8.99</v>
      </c>
      <c r="L379" s="4" t="s">
        <v>885</v>
      </c>
      <c r="M379" s="4" t="s">
        <v>85</v>
      </c>
      <c r="N379" s="4" t="s">
        <v>86</v>
      </c>
      <c r="O379" s="4" t="s">
        <v>27</v>
      </c>
      <c r="P379" s="4" t="s">
        <v>40</v>
      </c>
      <c r="Q379" s="4" t="s">
        <v>41</v>
      </c>
      <c r="R379" s="2" t="s">
        <v>642</v>
      </c>
      <c r="S379" s="4" t="s">
        <v>51</v>
      </c>
      <c r="T379" s="2">
        <v>0.6</v>
      </c>
      <c r="U379" s="3">
        <v>40950</v>
      </c>
    </row>
    <row r="380" spans="1:21">
      <c r="A380" s="2">
        <v>1092</v>
      </c>
      <c r="B380" s="2">
        <v>8033</v>
      </c>
      <c r="C380" s="6">
        <v>41023</v>
      </c>
      <c r="D380" s="4" t="s">
        <v>31</v>
      </c>
      <c r="E380" s="2">
        <v>27</v>
      </c>
      <c r="F380" s="5">
        <v>118.18</v>
      </c>
      <c r="G380" s="5">
        <v>0.06</v>
      </c>
      <c r="H380" s="4" t="s">
        <v>15</v>
      </c>
      <c r="I380" s="5">
        <v>-133.62</v>
      </c>
      <c r="J380" s="2">
        <v>4.0599999999999996</v>
      </c>
      <c r="K380" s="5">
        <v>6.89</v>
      </c>
      <c r="L380" s="4" t="s">
        <v>886</v>
      </c>
      <c r="M380" s="4" t="s">
        <v>57</v>
      </c>
      <c r="N380" s="4" t="s">
        <v>57</v>
      </c>
      <c r="O380" s="4" t="s">
        <v>18</v>
      </c>
      <c r="P380" s="4" t="s">
        <v>19</v>
      </c>
      <c r="Q380" s="4" t="s">
        <v>117</v>
      </c>
      <c r="R380" s="2" t="s">
        <v>840</v>
      </c>
      <c r="S380" s="4" t="s">
        <v>51</v>
      </c>
      <c r="T380" s="2">
        <v>0.6</v>
      </c>
      <c r="U380" s="3">
        <v>41024</v>
      </c>
    </row>
    <row r="381" spans="1:21">
      <c r="A381" s="2">
        <v>1093</v>
      </c>
      <c r="B381" s="2">
        <v>8034</v>
      </c>
      <c r="C381" s="6">
        <v>40927</v>
      </c>
      <c r="D381" s="4" t="s">
        <v>31</v>
      </c>
      <c r="E381" s="2">
        <v>31</v>
      </c>
      <c r="F381" s="5">
        <v>354.45</v>
      </c>
      <c r="G381" s="5">
        <v>0.01</v>
      </c>
      <c r="H381" s="4" t="s">
        <v>15</v>
      </c>
      <c r="I381" s="5">
        <v>11.38</v>
      </c>
      <c r="J381" s="2">
        <v>10.98</v>
      </c>
      <c r="K381" s="5">
        <v>3.99</v>
      </c>
      <c r="L381" s="4" t="s">
        <v>887</v>
      </c>
      <c r="M381" s="4" t="s">
        <v>43</v>
      </c>
      <c r="N381" s="4" t="s">
        <v>44</v>
      </c>
      <c r="O381" s="4" t="s">
        <v>27</v>
      </c>
      <c r="P381" s="4" t="s">
        <v>19</v>
      </c>
      <c r="Q381" s="4" t="s">
        <v>117</v>
      </c>
      <c r="R381" s="2" t="s">
        <v>888</v>
      </c>
      <c r="S381" s="4" t="s">
        <v>51</v>
      </c>
      <c r="T381" s="2">
        <v>0.57999999999999996</v>
      </c>
      <c r="U381" s="3">
        <v>40927</v>
      </c>
    </row>
    <row r="382" spans="1:21">
      <c r="A382" s="2">
        <v>1104</v>
      </c>
      <c r="B382" s="2">
        <v>8103</v>
      </c>
      <c r="C382" s="6">
        <v>40119</v>
      </c>
      <c r="D382" s="4" t="s">
        <v>14</v>
      </c>
      <c r="E382" s="2">
        <v>16</v>
      </c>
      <c r="F382" s="5">
        <v>457.68</v>
      </c>
      <c r="G382" s="5">
        <v>7.0000000000000007E-2</v>
      </c>
      <c r="H382" s="4" t="s">
        <v>15</v>
      </c>
      <c r="I382" s="5">
        <v>107.38</v>
      </c>
      <c r="J382" s="2">
        <v>29.17</v>
      </c>
      <c r="K382" s="5">
        <v>6.27</v>
      </c>
      <c r="L382" s="4" t="s">
        <v>890</v>
      </c>
      <c r="M382" s="4" t="s">
        <v>57</v>
      </c>
      <c r="N382" s="4" t="s">
        <v>57</v>
      </c>
      <c r="O382" s="4" t="s">
        <v>27</v>
      </c>
      <c r="P382" s="4" t="s">
        <v>19</v>
      </c>
      <c r="Q382" s="4" t="s">
        <v>111</v>
      </c>
      <c r="R382" s="2" t="s">
        <v>751</v>
      </c>
      <c r="S382" s="4" t="s">
        <v>51</v>
      </c>
      <c r="T382" s="2">
        <v>0.37</v>
      </c>
      <c r="U382" s="3">
        <v>40123</v>
      </c>
    </row>
    <row r="383" spans="1:21">
      <c r="A383" s="2">
        <v>1107</v>
      </c>
      <c r="B383" s="2">
        <v>8132</v>
      </c>
      <c r="C383" s="6">
        <v>39947</v>
      </c>
      <c r="D383" s="4" t="s">
        <v>14</v>
      </c>
      <c r="E383" s="2">
        <v>46</v>
      </c>
      <c r="F383" s="5">
        <v>229.35</v>
      </c>
      <c r="G383" s="5">
        <v>0.08</v>
      </c>
      <c r="H383" s="4" t="s">
        <v>64</v>
      </c>
      <c r="I383" s="5">
        <v>-165.45</v>
      </c>
      <c r="J383" s="2">
        <v>4.8899999999999997</v>
      </c>
      <c r="K383" s="5">
        <v>4.93</v>
      </c>
      <c r="L383" s="4" t="s">
        <v>891</v>
      </c>
      <c r="M383" s="4" t="s">
        <v>74</v>
      </c>
      <c r="N383" s="4" t="s">
        <v>74</v>
      </c>
      <c r="O383" s="4" t="s">
        <v>54</v>
      </c>
      <c r="P383" s="4" t="s">
        <v>40</v>
      </c>
      <c r="Q383" s="4" t="s">
        <v>45</v>
      </c>
      <c r="R383" s="2" t="s">
        <v>355</v>
      </c>
      <c r="S383" s="4" t="s">
        <v>30</v>
      </c>
      <c r="T383" s="2">
        <v>0.66</v>
      </c>
      <c r="U383" s="3">
        <v>39947</v>
      </c>
    </row>
    <row r="384" spans="1:21">
      <c r="A384" s="2">
        <v>1123</v>
      </c>
      <c r="B384" s="2">
        <v>8229</v>
      </c>
      <c r="C384" s="6">
        <v>40154</v>
      </c>
      <c r="D384" s="4" t="s">
        <v>72</v>
      </c>
      <c r="E384" s="2">
        <v>7</v>
      </c>
      <c r="F384" s="5">
        <v>3565.27</v>
      </c>
      <c r="G384" s="5">
        <v>0.04</v>
      </c>
      <c r="H384" s="4" t="s">
        <v>37</v>
      </c>
      <c r="I384" s="5">
        <v>-502.81</v>
      </c>
      <c r="J384" s="2">
        <v>510.14</v>
      </c>
      <c r="K384" s="5">
        <v>14.7</v>
      </c>
      <c r="L384" s="4" t="s">
        <v>895</v>
      </c>
      <c r="M384" s="4" t="s">
        <v>47</v>
      </c>
      <c r="N384" s="4" t="s">
        <v>26</v>
      </c>
      <c r="O384" s="4" t="s">
        <v>54</v>
      </c>
      <c r="P384" s="4" t="s">
        <v>40</v>
      </c>
      <c r="Q384" s="4" t="s">
        <v>81</v>
      </c>
      <c r="R384" s="2" t="s">
        <v>896</v>
      </c>
      <c r="S384" s="4" t="s">
        <v>121</v>
      </c>
      <c r="T384" s="2">
        <v>0.56000000000000005</v>
      </c>
      <c r="U384" s="3">
        <v>40156</v>
      </c>
    </row>
    <row r="385" spans="1:21">
      <c r="A385" s="2">
        <v>1132</v>
      </c>
      <c r="B385" s="2">
        <v>8288</v>
      </c>
      <c r="C385" s="6">
        <v>40672</v>
      </c>
      <c r="D385" s="4" t="s">
        <v>52</v>
      </c>
      <c r="E385" s="2">
        <v>22</v>
      </c>
      <c r="F385" s="5">
        <v>1337.81</v>
      </c>
      <c r="G385" s="5">
        <v>0.02</v>
      </c>
      <c r="H385" s="4" t="s">
        <v>15</v>
      </c>
      <c r="I385" s="5">
        <v>407.12</v>
      </c>
      <c r="J385" s="2">
        <v>59.78</v>
      </c>
      <c r="K385" s="5">
        <v>10.29</v>
      </c>
      <c r="L385" s="4" t="s">
        <v>898</v>
      </c>
      <c r="M385" s="4" t="s">
        <v>70</v>
      </c>
      <c r="N385" s="4" t="s">
        <v>44</v>
      </c>
      <c r="O385" s="4" t="s">
        <v>27</v>
      </c>
      <c r="P385" s="4" t="s">
        <v>19</v>
      </c>
      <c r="Q385" s="4" t="s">
        <v>111</v>
      </c>
      <c r="R385" s="2" t="s">
        <v>899</v>
      </c>
      <c r="S385" s="4" t="s">
        <v>51</v>
      </c>
      <c r="T385" s="2">
        <v>0.39</v>
      </c>
      <c r="U385" s="3">
        <v>40673</v>
      </c>
    </row>
    <row r="386" spans="1:21">
      <c r="A386" s="2">
        <v>1136</v>
      </c>
      <c r="B386" s="2">
        <v>8293</v>
      </c>
      <c r="C386" s="6">
        <v>41131</v>
      </c>
      <c r="D386" s="4" t="s">
        <v>14</v>
      </c>
      <c r="E386" s="2">
        <v>22</v>
      </c>
      <c r="F386" s="5">
        <v>75.03</v>
      </c>
      <c r="G386" s="5">
        <v>0.02</v>
      </c>
      <c r="H386" s="4" t="s">
        <v>15</v>
      </c>
      <c r="I386" s="5">
        <v>-31.52</v>
      </c>
      <c r="J386" s="2">
        <v>3.14</v>
      </c>
      <c r="K386" s="5">
        <v>1.92</v>
      </c>
      <c r="L386" s="4" t="s">
        <v>900</v>
      </c>
      <c r="M386" s="4" t="s">
        <v>43</v>
      </c>
      <c r="N386" s="4" t="s">
        <v>44</v>
      </c>
      <c r="O386" s="4" t="s">
        <v>18</v>
      </c>
      <c r="P386" s="4" t="s">
        <v>19</v>
      </c>
      <c r="Q386" s="4" t="s">
        <v>28</v>
      </c>
      <c r="R386" s="2" t="s">
        <v>99</v>
      </c>
      <c r="S386" s="4" t="s">
        <v>50</v>
      </c>
      <c r="T386" s="2">
        <v>0.84</v>
      </c>
      <c r="U386" s="3">
        <v>41135</v>
      </c>
    </row>
    <row r="387" spans="1:21">
      <c r="A387" s="2">
        <v>1149</v>
      </c>
      <c r="B387" s="2">
        <v>8387</v>
      </c>
      <c r="C387" s="6">
        <v>40257</v>
      </c>
      <c r="D387" s="4" t="s">
        <v>23</v>
      </c>
      <c r="E387" s="2">
        <v>35</v>
      </c>
      <c r="F387" s="5">
        <v>1133.96</v>
      </c>
      <c r="G387" s="5">
        <v>0.02</v>
      </c>
      <c r="H387" s="4" t="s">
        <v>15</v>
      </c>
      <c r="I387" s="5">
        <v>185.09</v>
      </c>
      <c r="J387" s="2">
        <v>31.74</v>
      </c>
      <c r="K387" s="5">
        <v>12.62</v>
      </c>
      <c r="L387" s="4" t="s">
        <v>901</v>
      </c>
      <c r="M387" s="4" t="s">
        <v>25</v>
      </c>
      <c r="N387" s="4" t="s">
        <v>26</v>
      </c>
      <c r="O387" s="4" t="s">
        <v>27</v>
      </c>
      <c r="P387" s="4" t="s">
        <v>19</v>
      </c>
      <c r="Q387" s="4" t="s">
        <v>111</v>
      </c>
      <c r="R387" s="2" t="s">
        <v>902</v>
      </c>
      <c r="S387" s="4" t="s">
        <v>51</v>
      </c>
      <c r="T387" s="2">
        <v>0.37</v>
      </c>
      <c r="U387" s="3">
        <v>40258</v>
      </c>
    </row>
    <row r="388" spans="1:21">
      <c r="A388" s="2">
        <v>1158</v>
      </c>
      <c r="B388" s="2">
        <v>8422</v>
      </c>
      <c r="C388" s="6">
        <v>39917</v>
      </c>
      <c r="D388" s="4" t="s">
        <v>72</v>
      </c>
      <c r="E388" s="2">
        <v>33</v>
      </c>
      <c r="F388" s="5">
        <v>1003.71</v>
      </c>
      <c r="G388" s="5">
        <v>0.01</v>
      </c>
      <c r="H388" s="4" t="s">
        <v>64</v>
      </c>
      <c r="I388" s="5">
        <v>-22.82</v>
      </c>
      <c r="J388" s="2">
        <v>29.1</v>
      </c>
      <c r="K388" s="5">
        <v>4</v>
      </c>
      <c r="L388" s="4" t="s">
        <v>904</v>
      </c>
      <c r="M388" s="4" t="s">
        <v>66</v>
      </c>
      <c r="N388" s="4" t="s">
        <v>66</v>
      </c>
      <c r="O388" s="4" t="s">
        <v>54</v>
      </c>
      <c r="P388" s="4" t="s">
        <v>40</v>
      </c>
      <c r="Q388" s="4" t="s">
        <v>45</v>
      </c>
      <c r="R388" s="2" t="s">
        <v>905</v>
      </c>
      <c r="S388" s="4" t="s">
        <v>51</v>
      </c>
      <c r="T388" s="2">
        <v>0.78</v>
      </c>
      <c r="U388" s="3">
        <v>39919</v>
      </c>
    </row>
    <row r="389" spans="1:21">
      <c r="A389" s="2">
        <v>1160</v>
      </c>
      <c r="B389" s="2">
        <v>8450</v>
      </c>
      <c r="C389" s="6">
        <v>41012</v>
      </c>
      <c r="D389" s="4" t="s">
        <v>23</v>
      </c>
      <c r="E389" s="2">
        <v>24</v>
      </c>
      <c r="F389" s="5">
        <v>1307</v>
      </c>
      <c r="G389" s="5">
        <v>0.02</v>
      </c>
      <c r="H389" s="4" t="s">
        <v>15</v>
      </c>
      <c r="I389" s="5">
        <v>428.99</v>
      </c>
      <c r="J389" s="2">
        <v>54.48</v>
      </c>
      <c r="K389" s="5">
        <v>0.99</v>
      </c>
      <c r="L389" s="4" t="s">
        <v>906</v>
      </c>
      <c r="M389" s="4" t="s">
        <v>43</v>
      </c>
      <c r="N389" s="4" t="s">
        <v>44</v>
      </c>
      <c r="O389" s="4" t="s">
        <v>54</v>
      </c>
      <c r="P389" s="4" t="s">
        <v>19</v>
      </c>
      <c r="Q389" s="4" t="s">
        <v>117</v>
      </c>
      <c r="R389" s="2" t="s">
        <v>907</v>
      </c>
      <c r="S389" s="4" t="s">
        <v>51</v>
      </c>
      <c r="T389" s="2">
        <v>0.56999999999999995</v>
      </c>
      <c r="U389" s="3">
        <v>41014</v>
      </c>
    </row>
    <row r="390" spans="1:21">
      <c r="A390" s="2">
        <v>1165</v>
      </c>
      <c r="B390" s="2">
        <v>8513</v>
      </c>
      <c r="C390" s="6">
        <v>40739</v>
      </c>
      <c r="D390" s="4" t="s">
        <v>14</v>
      </c>
      <c r="E390" s="2">
        <v>9</v>
      </c>
      <c r="F390" s="5">
        <v>163.78</v>
      </c>
      <c r="G390" s="5">
        <v>0.05</v>
      </c>
      <c r="H390" s="4" t="s">
        <v>15</v>
      </c>
      <c r="I390" s="5">
        <v>-43.03</v>
      </c>
      <c r="J390" s="2">
        <v>17.98</v>
      </c>
      <c r="K390" s="5">
        <v>8.51</v>
      </c>
      <c r="L390" s="4" t="s">
        <v>908</v>
      </c>
      <c r="M390" s="4" t="s">
        <v>57</v>
      </c>
      <c r="N390" s="4" t="s">
        <v>57</v>
      </c>
      <c r="O390" s="4" t="s">
        <v>18</v>
      </c>
      <c r="P390" s="4" t="s">
        <v>40</v>
      </c>
      <c r="Q390" s="4" t="s">
        <v>81</v>
      </c>
      <c r="R390" s="2" t="s">
        <v>909</v>
      </c>
      <c r="S390" s="4" t="s">
        <v>36</v>
      </c>
      <c r="T390" s="2">
        <v>0.4</v>
      </c>
      <c r="U390" s="3">
        <v>40741</v>
      </c>
    </row>
    <row r="391" spans="1:21">
      <c r="A391" s="2">
        <v>1173</v>
      </c>
      <c r="B391" s="2">
        <v>8576</v>
      </c>
      <c r="C391" s="6">
        <v>39822</v>
      </c>
      <c r="D391" s="4" t="s">
        <v>31</v>
      </c>
      <c r="E391" s="2">
        <v>43</v>
      </c>
      <c r="F391" s="5">
        <v>541.45000000000005</v>
      </c>
      <c r="G391" s="5">
        <v>0</v>
      </c>
      <c r="H391" s="4" t="s">
        <v>64</v>
      </c>
      <c r="I391" s="5">
        <v>-164.25</v>
      </c>
      <c r="J391" s="2">
        <v>11.66</v>
      </c>
      <c r="K391" s="5">
        <v>8.99</v>
      </c>
      <c r="L391" s="4" t="s">
        <v>910</v>
      </c>
      <c r="M391" s="4" t="s">
        <v>74</v>
      </c>
      <c r="N391" s="4" t="s">
        <v>74</v>
      </c>
      <c r="O391" s="4" t="s">
        <v>27</v>
      </c>
      <c r="P391" s="4" t="s">
        <v>19</v>
      </c>
      <c r="Q391" s="4" t="s">
        <v>48</v>
      </c>
      <c r="R391" s="2" t="s">
        <v>660</v>
      </c>
      <c r="S391" s="4" t="s">
        <v>30</v>
      </c>
      <c r="T391" s="2">
        <v>0.59</v>
      </c>
      <c r="U391" s="3">
        <v>39824</v>
      </c>
    </row>
    <row r="392" spans="1:21">
      <c r="A392" s="2">
        <v>1175</v>
      </c>
      <c r="B392" s="2">
        <v>8580</v>
      </c>
      <c r="C392" s="6">
        <v>40624</v>
      </c>
      <c r="D392" s="4" t="s">
        <v>31</v>
      </c>
      <c r="E392" s="2">
        <v>12</v>
      </c>
      <c r="F392" s="5">
        <v>151.49</v>
      </c>
      <c r="G392" s="5">
        <v>0</v>
      </c>
      <c r="H392" s="4" t="s">
        <v>15</v>
      </c>
      <c r="I392" s="5">
        <v>-3.95</v>
      </c>
      <c r="J392" s="2">
        <v>11.58</v>
      </c>
      <c r="K392" s="5">
        <v>6.97</v>
      </c>
      <c r="L392" s="4" t="s">
        <v>911</v>
      </c>
      <c r="M392" s="4" t="s">
        <v>70</v>
      </c>
      <c r="N392" s="4" t="s">
        <v>44</v>
      </c>
      <c r="O392" s="4" t="s">
        <v>60</v>
      </c>
      <c r="P392" s="4" t="s">
        <v>19</v>
      </c>
      <c r="Q392" s="4" t="s">
        <v>128</v>
      </c>
      <c r="R392" s="2" t="s">
        <v>699</v>
      </c>
      <c r="S392" s="4" t="s">
        <v>51</v>
      </c>
      <c r="T392" s="2">
        <v>0.35</v>
      </c>
      <c r="U392" s="3">
        <v>40624</v>
      </c>
    </row>
    <row r="393" spans="1:21">
      <c r="A393" s="2">
        <v>1186</v>
      </c>
      <c r="B393" s="2">
        <v>8677</v>
      </c>
      <c r="C393" s="6">
        <v>41189</v>
      </c>
      <c r="D393" s="4" t="s">
        <v>31</v>
      </c>
      <c r="E393" s="2">
        <v>38</v>
      </c>
      <c r="F393" s="5">
        <v>1610.76</v>
      </c>
      <c r="G393" s="5">
        <v>0.1</v>
      </c>
      <c r="H393" s="4" t="s">
        <v>15</v>
      </c>
      <c r="I393" s="5">
        <v>-8.67</v>
      </c>
      <c r="J393" s="2">
        <v>43.57</v>
      </c>
      <c r="K393" s="5">
        <v>16.36</v>
      </c>
      <c r="L393" s="4" t="s">
        <v>912</v>
      </c>
      <c r="M393" s="4" t="s">
        <v>66</v>
      </c>
      <c r="N393" s="4" t="s">
        <v>66</v>
      </c>
      <c r="O393" s="4" t="s">
        <v>27</v>
      </c>
      <c r="P393" s="4" t="s">
        <v>19</v>
      </c>
      <c r="Q393" s="4" t="s">
        <v>20</v>
      </c>
      <c r="R393" s="2" t="s">
        <v>913</v>
      </c>
      <c r="S393" s="4" t="s">
        <v>51</v>
      </c>
      <c r="T393" s="2">
        <v>0.55000000000000004</v>
      </c>
      <c r="U393" s="3">
        <v>41191</v>
      </c>
    </row>
    <row r="394" spans="1:21">
      <c r="A394" s="2">
        <v>1188</v>
      </c>
      <c r="B394" s="2">
        <v>8679</v>
      </c>
      <c r="C394" s="6">
        <v>41035</v>
      </c>
      <c r="D394" s="4" t="s">
        <v>72</v>
      </c>
      <c r="E394" s="2">
        <v>46</v>
      </c>
      <c r="F394" s="5">
        <v>446.06</v>
      </c>
      <c r="G394" s="5">
        <v>0.01</v>
      </c>
      <c r="H394" s="4" t="s">
        <v>15</v>
      </c>
      <c r="I394" s="5">
        <v>161.32</v>
      </c>
      <c r="J394" s="2">
        <v>9.11</v>
      </c>
      <c r="K394" s="5">
        <v>2.15</v>
      </c>
      <c r="L394" s="4" t="s">
        <v>914</v>
      </c>
      <c r="M394" s="4" t="s">
        <v>25</v>
      </c>
      <c r="N394" s="4" t="s">
        <v>26</v>
      </c>
      <c r="O394" s="4" t="s">
        <v>54</v>
      </c>
      <c r="P394" s="4" t="s">
        <v>19</v>
      </c>
      <c r="Q394" s="4" t="s">
        <v>78</v>
      </c>
      <c r="R394" s="2" t="s">
        <v>915</v>
      </c>
      <c r="S394" s="4" t="s">
        <v>50</v>
      </c>
      <c r="T394" s="2">
        <v>0.4</v>
      </c>
      <c r="U394" s="3">
        <v>41036</v>
      </c>
    </row>
    <row r="395" spans="1:21">
      <c r="A395" s="2">
        <v>1199</v>
      </c>
      <c r="B395" s="2">
        <v>8802</v>
      </c>
      <c r="C395" s="6">
        <v>40574</v>
      </c>
      <c r="D395" s="4" t="s">
        <v>72</v>
      </c>
      <c r="E395" s="2">
        <v>15</v>
      </c>
      <c r="F395" s="5">
        <v>1866.12</v>
      </c>
      <c r="G395" s="5">
        <v>7.0000000000000007E-2</v>
      </c>
      <c r="H395" s="4" t="s">
        <v>15</v>
      </c>
      <c r="I395" s="5">
        <v>400.69</v>
      </c>
      <c r="J395" s="2">
        <v>123.38</v>
      </c>
      <c r="K395" s="5">
        <v>24.49</v>
      </c>
      <c r="L395" s="4" t="s">
        <v>916</v>
      </c>
      <c r="M395" s="4" t="s">
        <v>43</v>
      </c>
      <c r="N395" s="4" t="s">
        <v>44</v>
      </c>
      <c r="O395" s="4" t="s">
        <v>18</v>
      </c>
      <c r="P395" s="4" t="s">
        <v>19</v>
      </c>
      <c r="Q395" s="4" t="s">
        <v>117</v>
      </c>
      <c r="R395" s="2" t="s">
        <v>917</v>
      </c>
      <c r="S395" s="4" t="s">
        <v>22</v>
      </c>
      <c r="T395" s="2">
        <v>0.46</v>
      </c>
      <c r="U395" s="3">
        <v>40576</v>
      </c>
    </row>
    <row r="396" spans="1:21">
      <c r="A396" s="2">
        <v>1212</v>
      </c>
      <c r="B396" s="2">
        <v>8901</v>
      </c>
      <c r="C396" s="6">
        <v>40775</v>
      </c>
      <c r="D396" s="4" t="s">
        <v>14</v>
      </c>
      <c r="E396" s="2">
        <v>15</v>
      </c>
      <c r="F396" s="5">
        <v>168.9</v>
      </c>
      <c r="G396" s="5">
        <v>0.09</v>
      </c>
      <c r="H396" s="4" t="s">
        <v>64</v>
      </c>
      <c r="I396" s="5">
        <v>-16.190000000000001</v>
      </c>
      <c r="J396" s="2">
        <v>9.99</v>
      </c>
      <c r="K396" s="5">
        <v>6.24</v>
      </c>
      <c r="L396" s="4" t="s">
        <v>918</v>
      </c>
      <c r="M396" s="4" t="s">
        <v>74</v>
      </c>
      <c r="N396" s="4" t="s">
        <v>74</v>
      </c>
      <c r="O396" s="4" t="s">
        <v>60</v>
      </c>
      <c r="P396" s="4" t="s">
        <v>40</v>
      </c>
      <c r="Q396" s="4" t="s">
        <v>81</v>
      </c>
      <c r="R396" s="2" t="s">
        <v>919</v>
      </c>
      <c r="S396" s="4" t="s">
        <v>36</v>
      </c>
      <c r="T396" s="2">
        <v>0.36</v>
      </c>
      <c r="U396" s="3">
        <v>40782</v>
      </c>
    </row>
    <row r="397" spans="1:21">
      <c r="A397" s="2">
        <v>1214</v>
      </c>
      <c r="B397" s="2">
        <v>8930</v>
      </c>
      <c r="C397" s="6">
        <v>39952</v>
      </c>
      <c r="D397" s="4" t="s">
        <v>72</v>
      </c>
      <c r="E397" s="2">
        <v>14</v>
      </c>
      <c r="F397" s="5">
        <v>145.86000000000001</v>
      </c>
      <c r="G397" s="5">
        <v>0.04</v>
      </c>
      <c r="H397" s="4" t="s">
        <v>15</v>
      </c>
      <c r="I397" s="5">
        <v>-92.32</v>
      </c>
      <c r="J397" s="2">
        <v>9.99</v>
      </c>
      <c r="K397" s="5">
        <v>11.59</v>
      </c>
      <c r="L397" s="4" t="s">
        <v>920</v>
      </c>
      <c r="M397" s="4" t="s">
        <v>74</v>
      </c>
      <c r="N397" s="4" t="s">
        <v>74</v>
      </c>
      <c r="O397" s="4" t="s">
        <v>27</v>
      </c>
      <c r="P397" s="4" t="s">
        <v>19</v>
      </c>
      <c r="Q397" s="4" t="s">
        <v>78</v>
      </c>
      <c r="R397" s="2" t="s">
        <v>921</v>
      </c>
      <c r="S397" s="4" t="s">
        <v>51</v>
      </c>
      <c r="T397" s="2">
        <v>0.4</v>
      </c>
      <c r="U397" s="3">
        <v>39954</v>
      </c>
    </row>
    <row r="398" spans="1:21">
      <c r="A398" s="2">
        <v>1224</v>
      </c>
      <c r="B398" s="2">
        <v>8993</v>
      </c>
      <c r="C398" s="6">
        <v>40691</v>
      </c>
      <c r="D398" s="4" t="s">
        <v>72</v>
      </c>
      <c r="E398" s="2">
        <v>41</v>
      </c>
      <c r="F398" s="5">
        <v>172.15</v>
      </c>
      <c r="G398" s="5">
        <v>0.02</v>
      </c>
      <c r="H398" s="4" t="s">
        <v>64</v>
      </c>
      <c r="I398" s="5">
        <v>86.78</v>
      </c>
      <c r="J398" s="2">
        <v>3.69</v>
      </c>
      <c r="K398" s="5">
        <v>0.5</v>
      </c>
      <c r="L398" s="4" t="s">
        <v>924</v>
      </c>
      <c r="M398" s="4" t="s">
        <v>70</v>
      </c>
      <c r="N398" s="4" t="s">
        <v>44</v>
      </c>
      <c r="O398" s="4" t="s">
        <v>27</v>
      </c>
      <c r="P398" s="4" t="s">
        <v>19</v>
      </c>
      <c r="Q398" s="4" t="s">
        <v>75</v>
      </c>
      <c r="R398" s="2" t="s">
        <v>332</v>
      </c>
      <c r="S398" s="4" t="s">
        <v>51</v>
      </c>
      <c r="T398" s="2">
        <v>0.38</v>
      </c>
      <c r="U398" s="3">
        <v>40693</v>
      </c>
    </row>
    <row r="399" spans="1:21">
      <c r="A399" s="2">
        <v>1225</v>
      </c>
      <c r="B399" s="2">
        <v>8994</v>
      </c>
      <c r="C399" s="6">
        <v>39910</v>
      </c>
      <c r="D399" s="4" t="s">
        <v>14</v>
      </c>
      <c r="E399" s="2">
        <v>36</v>
      </c>
      <c r="F399" s="5">
        <v>1423.35</v>
      </c>
      <c r="G399" s="5">
        <v>0.1</v>
      </c>
      <c r="H399" s="4" t="s">
        <v>15</v>
      </c>
      <c r="I399" s="5">
        <v>-580.32000000000005</v>
      </c>
      <c r="J399" s="2">
        <v>40.479999999999997</v>
      </c>
      <c r="K399" s="5">
        <v>19.989999999999998</v>
      </c>
      <c r="L399" s="4" t="s">
        <v>925</v>
      </c>
      <c r="M399" s="4" t="s">
        <v>199</v>
      </c>
      <c r="N399" s="4" t="s">
        <v>86</v>
      </c>
      <c r="O399" s="4" t="s">
        <v>27</v>
      </c>
      <c r="P399" s="4" t="s">
        <v>40</v>
      </c>
      <c r="Q399" s="4" t="s">
        <v>45</v>
      </c>
      <c r="R399" s="2" t="s">
        <v>852</v>
      </c>
      <c r="S399" s="4" t="s">
        <v>51</v>
      </c>
      <c r="T399" s="2">
        <v>0.77</v>
      </c>
      <c r="U399" s="3">
        <v>39912</v>
      </c>
    </row>
    <row r="400" spans="1:21">
      <c r="A400" s="2">
        <v>1242</v>
      </c>
      <c r="B400" s="2">
        <v>9028</v>
      </c>
      <c r="C400" s="6">
        <v>40533</v>
      </c>
      <c r="D400" s="4" t="s">
        <v>14</v>
      </c>
      <c r="E400" s="2">
        <v>48</v>
      </c>
      <c r="F400" s="5">
        <v>14556.67</v>
      </c>
      <c r="G400" s="5">
        <v>0.04</v>
      </c>
      <c r="H400" s="4" t="s">
        <v>37</v>
      </c>
      <c r="I400" s="5">
        <v>3829.63</v>
      </c>
      <c r="J400" s="2">
        <v>306.14</v>
      </c>
      <c r="K400" s="5">
        <v>26.53</v>
      </c>
      <c r="L400" s="4" t="s">
        <v>928</v>
      </c>
      <c r="M400" s="4" t="s">
        <v>57</v>
      </c>
      <c r="N400" s="4" t="s">
        <v>57</v>
      </c>
      <c r="O400" s="4" t="s">
        <v>18</v>
      </c>
      <c r="P400" s="4" t="s">
        <v>40</v>
      </c>
      <c r="Q400" s="4" t="s">
        <v>81</v>
      </c>
      <c r="R400" s="2" t="s">
        <v>929</v>
      </c>
      <c r="S400" s="4" t="s">
        <v>121</v>
      </c>
      <c r="T400" s="2">
        <v>0.56000000000000005</v>
      </c>
      <c r="U400" s="3">
        <v>40537</v>
      </c>
    </row>
    <row r="401" spans="1:21">
      <c r="A401" s="2">
        <v>1246</v>
      </c>
      <c r="B401" s="2">
        <v>9088</v>
      </c>
      <c r="C401" s="6">
        <v>39986</v>
      </c>
      <c r="D401" s="4" t="s">
        <v>52</v>
      </c>
      <c r="E401" s="2">
        <v>50</v>
      </c>
      <c r="F401" s="5">
        <v>15383.7</v>
      </c>
      <c r="G401" s="5">
        <v>0.03</v>
      </c>
      <c r="H401" s="4" t="s">
        <v>15</v>
      </c>
      <c r="I401" s="5">
        <v>6523.26</v>
      </c>
      <c r="J401" s="2">
        <v>304.99</v>
      </c>
      <c r="K401" s="5">
        <v>19.989999999999998</v>
      </c>
      <c r="L401" s="4" t="s">
        <v>930</v>
      </c>
      <c r="M401" s="4" t="s">
        <v>57</v>
      </c>
      <c r="N401" s="4" t="s">
        <v>57</v>
      </c>
      <c r="O401" s="4" t="s">
        <v>54</v>
      </c>
      <c r="P401" s="4" t="s">
        <v>19</v>
      </c>
      <c r="Q401" s="4" t="s">
        <v>111</v>
      </c>
      <c r="R401" s="2" t="s">
        <v>546</v>
      </c>
      <c r="S401" s="4" t="s">
        <v>51</v>
      </c>
      <c r="T401" s="2">
        <v>0.4</v>
      </c>
      <c r="U401" s="3">
        <v>39988</v>
      </c>
    </row>
    <row r="402" spans="1:21">
      <c r="A402" s="2">
        <v>1251</v>
      </c>
      <c r="B402" s="2">
        <v>9092</v>
      </c>
      <c r="C402" s="6">
        <v>40018</v>
      </c>
      <c r="D402" s="4" t="s">
        <v>23</v>
      </c>
      <c r="E402" s="2">
        <v>33</v>
      </c>
      <c r="F402" s="5">
        <v>3644.24</v>
      </c>
      <c r="G402" s="5">
        <v>0</v>
      </c>
      <c r="H402" s="4" t="s">
        <v>64</v>
      </c>
      <c r="I402" s="5">
        <v>-457.73</v>
      </c>
      <c r="J402" s="2">
        <v>101.41</v>
      </c>
      <c r="K402" s="5">
        <v>35</v>
      </c>
      <c r="L402" s="4" t="s">
        <v>932</v>
      </c>
      <c r="M402" s="4" t="s">
        <v>74</v>
      </c>
      <c r="N402" s="4" t="s">
        <v>74</v>
      </c>
      <c r="O402" s="4" t="s">
        <v>27</v>
      </c>
      <c r="P402" s="4" t="s">
        <v>19</v>
      </c>
      <c r="Q402" s="4" t="s">
        <v>20</v>
      </c>
      <c r="R402" s="2" t="s">
        <v>933</v>
      </c>
      <c r="S402" s="4" t="s">
        <v>22</v>
      </c>
      <c r="T402" s="2">
        <v>0.82</v>
      </c>
      <c r="U402" s="3">
        <v>40019</v>
      </c>
    </row>
    <row r="403" spans="1:21">
      <c r="A403" s="2">
        <v>1259</v>
      </c>
      <c r="B403" s="2">
        <v>9127</v>
      </c>
      <c r="C403" s="6">
        <v>40826</v>
      </c>
      <c r="D403" s="4" t="s">
        <v>23</v>
      </c>
      <c r="E403" s="2">
        <v>7</v>
      </c>
      <c r="F403" s="5">
        <v>2039.56</v>
      </c>
      <c r="G403" s="5">
        <v>0.04</v>
      </c>
      <c r="H403" s="4" t="s">
        <v>64</v>
      </c>
      <c r="I403" s="5">
        <v>-329.49</v>
      </c>
      <c r="J403" s="2">
        <v>279.48</v>
      </c>
      <c r="K403" s="5">
        <v>35</v>
      </c>
      <c r="L403" s="4" t="s">
        <v>934</v>
      </c>
      <c r="M403" s="4" t="s">
        <v>926</v>
      </c>
      <c r="N403" s="4" t="s">
        <v>926</v>
      </c>
      <c r="O403" s="4" t="s">
        <v>27</v>
      </c>
      <c r="P403" s="4" t="s">
        <v>19</v>
      </c>
      <c r="Q403" s="4" t="s">
        <v>20</v>
      </c>
      <c r="R403" s="2" t="s">
        <v>651</v>
      </c>
      <c r="S403" s="4" t="s">
        <v>22</v>
      </c>
      <c r="T403" s="2">
        <v>0.8</v>
      </c>
      <c r="U403" s="3">
        <v>40828</v>
      </c>
    </row>
    <row r="404" spans="1:21">
      <c r="A404" s="2">
        <v>1265</v>
      </c>
      <c r="B404" s="2">
        <v>9219</v>
      </c>
      <c r="C404" s="6">
        <v>40084</v>
      </c>
      <c r="D404" s="4" t="s">
        <v>14</v>
      </c>
      <c r="E404" s="2">
        <v>24</v>
      </c>
      <c r="F404" s="5">
        <v>1239.81</v>
      </c>
      <c r="G404" s="5">
        <v>0.04</v>
      </c>
      <c r="H404" s="4" t="s">
        <v>15</v>
      </c>
      <c r="I404" s="5">
        <v>-13.28</v>
      </c>
      <c r="J404" s="2">
        <v>50.98</v>
      </c>
      <c r="K404" s="5">
        <v>6.5</v>
      </c>
      <c r="L404" s="4" t="s">
        <v>936</v>
      </c>
      <c r="M404" s="4" t="s">
        <v>25</v>
      </c>
      <c r="N404" s="4" t="s">
        <v>26</v>
      </c>
      <c r="O404" s="4" t="s">
        <v>60</v>
      </c>
      <c r="P404" s="4" t="s">
        <v>40</v>
      </c>
      <c r="Q404" s="4" t="s">
        <v>45</v>
      </c>
      <c r="R404" s="2" t="s">
        <v>937</v>
      </c>
      <c r="S404" s="4" t="s">
        <v>51</v>
      </c>
      <c r="T404" s="2">
        <v>0.73</v>
      </c>
      <c r="U404" s="3">
        <v>40089</v>
      </c>
    </row>
    <row r="405" spans="1:21">
      <c r="A405" s="2">
        <v>1267</v>
      </c>
      <c r="B405" s="2">
        <v>9221</v>
      </c>
      <c r="C405" s="6">
        <v>40546</v>
      </c>
      <c r="D405" s="4" t="s">
        <v>14</v>
      </c>
      <c r="E405" s="2">
        <v>9</v>
      </c>
      <c r="F405" s="5">
        <v>79.64</v>
      </c>
      <c r="G405" s="5">
        <v>0.03</v>
      </c>
      <c r="H405" s="4" t="s">
        <v>15</v>
      </c>
      <c r="I405" s="5">
        <v>-377.74</v>
      </c>
      <c r="J405" s="2">
        <v>3.25</v>
      </c>
      <c r="K405" s="5">
        <v>49</v>
      </c>
      <c r="L405" s="4" t="s">
        <v>938</v>
      </c>
      <c r="M405" s="4" t="s">
        <v>25</v>
      </c>
      <c r="N405" s="4" t="s">
        <v>26</v>
      </c>
      <c r="O405" s="4" t="s">
        <v>60</v>
      </c>
      <c r="P405" s="4" t="s">
        <v>19</v>
      </c>
      <c r="Q405" s="4" t="s">
        <v>117</v>
      </c>
      <c r="R405" s="2" t="s">
        <v>939</v>
      </c>
      <c r="S405" s="4" t="s">
        <v>22</v>
      </c>
      <c r="T405" s="2">
        <v>0.56000000000000005</v>
      </c>
      <c r="U405" s="3">
        <v>40550</v>
      </c>
    </row>
    <row r="406" spans="1:21">
      <c r="A406" s="2">
        <v>1271</v>
      </c>
      <c r="B406" s="2">
        <v>9249</v>
      </c>
      <c r="C406" s="6">
        <v>40317</v>
      </c>
      <c r="D406" s="4" t="s">
        <v>31</v>
      </c>
      <c r="E406" s="2">
        <v>46</v>
      </c>
      <c r="F406" s="5">
        <v>176.5</v>
      </c>
      <c r="G406" s="5">
        <v>0.01</v>
      </c>
      <c r="H406" s="4" t="s">
        <v>15</v>
      </c>
      <c r="I406" s="5">
        <v>-119.35</v>
      </c>
      <c r="J406" s="2">
        <v>3.57</v>
      </c>
      <c r="K406" s="5">
        <v>4.17</v>
      </c>
      <c r="L406" s="4" t="s">
        <v>940</v>
      </c>
      <c r="M406" s="4" t="s">
        <v>25</v>
      </c>
      <c r="N406" s="4" t="s">
        <v>26</v>
      </c>
      <c r="O406" s="4" t="s">
        <v>18</v>
      </c>
      <c r="P406" s="4" t="s">
        <v>19</v>
      </c>
      <c r="Q406" s="4" t="s">
        <v>48</v>
      </c>
      <c r="R406" s="2" t="s">
        <v>448</v>
      </c>
      <c r="S406" s="4" t="s">
        <v>30</v>
      </c>
      <c r="T406" s="2">
        <v>0.59</v>
      </c>
      <c r="U406" s="3">
        <v>40318</v>
      </c>
    </row>
    <row r="407" spans="1:21">
      <c r="A407" s="2">
        <v>1308</v>
      </c>
      <c r="B407" s="2">
        <v>9602</v>
      </c>
      <c r="C407" s="6">
        <v>41223</v>
      </c>
      <c r="D407" s="4" t="s">
        <v>52</v>
      </c>
      <c r="E407" s="2">
        <v>27</v>
      </c>
      <c r="F407" s="5">
        <v>2654.16</v>
      </c>
      <c r="G407" s="5">
        <v>0.01</v>
      </c>
      <c r="H407" s="4" t="s">
        <v>37</v>
      </c>
      <c r="I407" s="5">
        <v>600.92999999999995</v>
      </c>
      <c r="J407" s="2">
        <v>90.97</v>
      </c>
      <c r="K407" s="5">
        <v>28</v>
      </c>
      <c r="L407" s="4" t="s">
        <v>943</v>
      </c>
      <c r="M407" s="4" t="s">
        <v>294</v>
      </c>
      <c r="N407" s="4" t="s">
        <v>86</v>
      </c>
      <c r="O407" s="4" t="s">
        <v>60</v>
      </c>
      <c r="P407" s="4" t="s">
        <v>40</v>
      </c>
      <c r="Q407" s="4" t="s">
        <v>81</v>
      </c>
      <c r="R407" s="2" t="s">
        <v>944</v>
      </c>
      <c r="S407" s="4" t="s">
        <v>121</v>
      </c>
      <c r="T407" s="2">
        <v>0.38</v>
      </c>
      <c r="U407" s="3">
        <v>41225</v>
      </c>
    </row>
    <row r="408" spans="1:21">
      <c r="A408" s="2">
        <v>1313</v>
      </c>
      <c r="B408" s="2">
        <v>9632</v>
      </c>
      <c r="C408" s="6">
        <v>40924</v>
      </c>
      <c r="D408" s="4" t="s">
        <v>14</v>
      </c>
      <c r="E408" s="2">
        <v>33</v>
      </c>
      <c r="F408" s="5">
        <v>3633.03</v>
      </c>
      <c r="G408" s="5">
        <v>0.09</v>
      </c>
      <c r="H408" s="4" t="s">
        <v>15</v>
      </c>
      <c r="I408" s="5">
        <v>1440.27</v>
      </c>
      <c r="J408" s="2">
        <v>120.98</v>
      </c>
      <c r="K408" s="5">
        <v>9.07</v>
      </c>
      <c r="L408" s="4" t="s">
        <v>946</v>
      </c>
      <c r="M408" s="4" t="s">
        <v>25</v>
      </c>
      <c r="N408" s="4" t="s">
        <v>26</v>
      </c>
      <c r="O408" s="4" t="s">
        <v>54</v>
      </c>
      <c r="P408" s="4" t="s">
        <v>19</v>
      </c>
      <c r="Q408" s="4" t="s">
        <v>111</v>
      </c>
      <c r="R408" s="2" t="s">
        <v>947</v>
      </c>
      <c r="S408" s="4" t="s">
        <v>51</v>
      </c>
      <c r="T408" s="2">
        <v>0.35</v>
      </c>
      <c r="U408" s="3">
        <v>40928</v>
      </c>
    </row>
    <row r="409" spans="1:21">
      <c r="A409" s="2">
        <v>1322</v>
      </c>
      <c r="B409" s="2">
        <v>9665</v>
      </c>
      <c r="C409" s="6">
        <v>39926</v>
      </c>
      <c r="D409" s="4" t="s">
        <v>14</v>
      </c>
      <c r="E409" s="2">
        <v>50</v>
      </c>
      <c r="F409" s="5">
        <v>2348.66</v>
      </c>
      <c r="G409" s="5">
        <v>0.02</v>
      </c>
      <c r="H409" s="4" t="s">
        <v>15</v>
      </c>
      <c r="I409" s="5">
        <v>921.41</v>
      </c>
      <c r="J409" s="2">
        <v>46.89</v>
      </c>
      <c r="K409" s="5">
        <v>5.0999999999999996</v>
      </c>
      <c r="L409" s="4" t="s">
        <v>951</v>
      </c>
      <c r="M409" s="4" t="s">
        <v>57</v>
      </c>
      <c r="N409" s="4" t="s">
        <v>57</v>
      </c>
      <c r="O409" s="4" t="s">
        <v>54</v>
      </c>
      <c r="P409" s="4" t="s">
        <v>19</v>
      </c>
      <c r="Q409" s="4" t="s">
        <v>117</v>
      </c>
      <c r="R409" s="2" t="s">
        <v>952</v>
      </c>
      <c r="S409" s="4" t="s">
        <v>36</v>
      </c>
      <c r="T409" s="2">
        <v>0.46</v>
      </c>
      <c r="U409" s="3">
        <v>39926</v>
      </c>
    </row>
    <row r="410" spans="1:21">
      <c r="A410" s="2">
        <v>1333</v>
      </c>
      <c r="B410" s="2">
        <v>9733</v>
      </c>
      <c r="C410" s="6">
        <v>39889</v>
      </c>
      <c r="D410" s="4" t="s">
        <v>23</v>
      </c>
      <c r="E410" s="2">
        <v>39</v>
      </c>
      <c r="F410" s="5">
        <v>223.64</v>
      </c>
      <c r="G410" s="5">
        <v>0.1</v>
      </c>
      <c r="H410" s="4" t="s">
        <v>15</v>
      </c>
      <c r="I410" s="5">
        <v>-90.26</v>
      </c>
      <c r="J410" s="2">
        <v>5.98</v>
      </c>
      <c r="K410" s="5">
        <v>5.35</v>
      </c>
      <c r="L410" s="4" t="s">
        <v>953</v>
      </c>
      <c r="M410" s="4" t="s">
        <v>66</v>
      </c>
      <c r="N410" s="4" t="s">
        <v>66</v>
      </c>
      <c r="O410" s="4" t="s">
        <v>54</v>
      </c>
      <c r="P410" s="4" t="s">
        <v>19</v>
      </c>
      <c r="Q410" s="4" t="s">
        <v>78</v>
      </c>
      <c r="R410" s="2" t="s">
        <v>672</v>
      </c>
      <c r="S410" s="4" t="s">
        <v>51</v>
      </c>
      <c r="T410" s="2">
        <v>0.4</v>
      </c>
      <c r="U410" s="3">
        <v>39889</v>
      </c>
    </row>
    <row r="411" spans="1:21">
      <c r="A411" s="2">
        <v>1336</v>
      </c>
      <c r="B411" s="2">
        <v>9762</v>
      </c>
      <c r="C411" s="6">
        <v>39816</v>
      </c>
      <c r="D411" s="4" t="s">
        <v>31</v>
      </c>
      <c r="E411" s="2">
        <v>12</v>
      </c>
      <c r="F411" s="5">
        <v>262.76</v>
      </c>
      <c r="G411" s="5">
        <v>0.05</v>
      </c>
      <c r="H411" s="4" t="s">
        <v>15</v>
      </c>
      <c r="I411" s="5">
        <v>-146.05000000000001</v>
      </c>
      <c r="J411" s="2">
        <v>20.98</v>
      </c>
      <c r="K411" s="5">
        <v>21.2</v>
      </c>
      <c r="L411" s="4" t="s">
        <v>954</v>
      </c>
      <c r="M411" s="4" t="s">
        <v>25</v>
      </c>
      <c r="N411" s="4" t="s">
        <v>26</v>
      </c>
      <c r="O411" s="4" t="s">
        <v>54</v>
      </c>
      <c r="P411" s="4" t="s">
        <v>33</v>
      </c>
      <c r="Q411" s="4" t="s">
        <v>34</v>
      </c>
      <c r="R411" s="2" t="s">
        <v>955</v>
      </c>
      <c r="S411" s="4" t="s">
        <v>36</v>
      </c>
      <c r="T411" s="2">
        <v>0.78</v>
      </c>
      <c r="U411" s="3">
        <v>39817</v>
      </c>
    </row>
    <row r="412" spans="1:21">
      <c r="A412" s="2">
        <v>1369</v>
      </c>
      <c r="B412" s="2">
        <v>9926</v>
      </c>
      <c r="C412" s="6">
        <v>40097</v>
      </c>
      <c r="D412" s="4" t="s">
        <v>31</v>
      </c>
      <c r="E412" s="2">
        <v>25</v>
      </c>
      <c r="F412" s="5">
        <v>158.83000000000001</v>
      </c>
      <c r="G412" s="5">
        <v>0</v>
      </c>
      <c r="H412" s="4" t="s">
        <v>15</v>
      </c>
      <c r="I412" s="5">
        <v>-56.97</v>
      </c>
      <c r="J412" s="2">
        <v>5.77</v>
      </c>
      <c r="K412" s="5">
        <v>5.92</v>
      </c>
      <c r="L412" s="4" t="s">
        <v>958</v>
      </c>
      <c r="M412" s="4" t="s">
        <v>57</v>
      </c>
      <c r="N412" s="4" t="s">
        <v>57</v>
      </c>
      <c r="O412" s="4" t="s">
        <v>54</v>
      </c>
      <c r="P412" s="4" t="s">
        <v>33</v>
      </c>
      <c r="Q412" s="4" t="s">
        <v>34</v>
      </c>
      <c r="R412" s="2" t="s">
        <v>758</v>
      </c>
      <c r="S412" s="4" t="s">
        <v>36</v>
      </c>
      <c r="T412" s="2">
        <v>0.55000000000000004</v>
      </c>
      <c r="U412" s="3">
        <v>40099</v>
      </c>
    </row>
    <row r="413" spans="1:21">
      <c r="A413" s="2">
        <v>1380</v>
      </c>
      <c r="B413" s="2">
        <v>10022</v>
      </c>
      <c r="C413" s="6">
        <v>39876</v>
      </c>
      <c r="D413" s="4" t="s">
        <v>14</v>
      </c>
      <c r="E413" s="2">
        <v>1</v>
      </c>
      <c r="F413" s="5">
        <v>12.18</v>
      </c>
      <c r="G413" s="5">
        <v>0.06</v>
      </c>
      <c r="H413" s="4" t="s">
        <v>15</v>
      </c>
      <c r="I413" s="5">
        <v>-3.88</v>
      </c>
      <c r="J413" s="2">
        <v>10.14</v>
      </c>
      <c r="K413" s="5">
        <v>2.27</v>
      </c>
      <c r="L413" s="4" t="s">
        <v>959</v>
      </c>
      <c r="M413" s="4" t="s">
        <v>926</v>
      </c>
      <c r="N413" s="4" t="s">
        <v>926</v>
      </c>
      <c r="O413" s="4" t="s">
        <v>18</v>
      </c>
      <c r="P413" s="4" t="s">
        <v>19</v>
      </c>
      <c r="Q413" s="4" t="s">
        <v>78</v>
      </c>
      <c r="R413" s="2" t="s">
        <v>950</v>
      </c>
      <c r="S413" s="4" t="s">
        <v>50</v>
      </c>
      <c r="T413" s="2">
        <v>0.36</v>
      </c>
      <c r="U413" s="3">
        <v>39876</v>
      </c>
    </row>
    <row r="414" spans="1:21">
      <c r="A414" s="2">
        <v>1391</v>
      </c>
      <c r="B414" s="2">
        <v>10081</v>
      </c>
      <c r="C414" s="6">
        <v>40397</v>
      </c>
      <c r="D414" s="4" t="s">
        <v>23</v>
      </c>
      <c r="E414" s="2">
        <v>49</v>
      </c>
      <c r="F414" s="5">
        <v>1058.43</v>
      </c>
      <c r="G414" s="5">
        <v>0.02</v>
      </c>
      <c r="H414" s="4" t="s">
        <v>15</v>
      </c>
      <c r="I414" s="5">
        <v>245</v>
      </c>
      <c r="J414" s="2">
        <v>20.28</v>
      </c>
      <c r="K414" s="5">
        <v>6.68</v>
      </c>
      <c r="L414" s="4" t="s">
        <v>960</v>
      </c>
      <c r="M414" s="4" t="s">
        <v>70</v>
      </c>
      <c r="N414" s="4" t="s">
        <v>44</v>
      </c>
      <c r="O414" s="4" t="s">
        <v>54</v>
      </c>
      <c r="P414" s="4" t="s">
        <v>33</v>
      </c>
      <c r="Q414" s="4" t="s">
        <v>34</v>
      </c>
      <c r="R414" s="2" t="s">
        <v>798</v>
      </c>
      <c r="S414" s="4" t="s">
        <v>51</v>
      </c>
      <c r="T414" s="2">
        <v>0.53</v>
      </c>
      <c r="U414" s="3">
        <v>40398</v>
      </c>
    </row>
    <row r="415" spans="1:21">
      <c r="A415" s="2">
        <v>1422</v>
      </c>
      <c r="B415" s="2">
        <v>10309</v>
      </c>
      <c r="C415" s="6">
        <v>40138</v>
      </c>
      <c r="D415" s="4" t="s">
        <v>14</v>
      </c>
      <c r="E415" s="2">
        <v>23</v>
      </c>
      <c r="F415" s="5">
        <v>496.15</v>
      </c>
      <c r="G415" s="5">
        <v>0.03</v>
      </c>
      <c r="H415" s="4" t="s">
        <v>15</v>
      </c>
      <c r="I415" s="5">
        <v>213.38</v>
      </c>
      <c r="J415" s="2">
        <v>20.98</v>
      </c>
      <c r="K415" s="5">
        <v>1.49</v>
      </c>
      <c r="L415" s="4" t="s">
        <v>962</v>
      </c>
      <c r="M415" s="4" t="s">
        <v>43</v>
      </c>
      <c r="N415" s="4" t="s">
        <v>44</v>
      </c>
      <c r="O415" s="4" t="s">
        <v>18</v>
      </c>
      <c r="P415" s="4" t="s">
        <v>19</v>
      </c>
      <c r="Q415" s="4" t="s">
        <v>111</v>
      </c>
      <c r="R415" s="2" t="s">
        <v>775</v>
      </c>
      <c r="S415" s="4" t="s">
        <v>51</v>
      </c>
      <c r="T415" s="2">
        <v>0.35</v>
      </c>
      <c r="U415" s="3">
        <v>40138</v>
      </c>
    </row>
    <row r="416" spans="1:21">
      <c r="A416" s="2">
        <v>1438</v>
      </c>
      <c r="B416" s="2">
        <v>10371</v>
      </c>
      <c r="C416" s="6">
        <v>40072</v>
      </c>
      <c r="D416" s="4" t="s">
        <v>31</v>
      </c>
      <c r="E416" s="2">
        <v>10</v>
      </c>
      <c r="F416" s="5">
        <v>156.15</v>
      </c>
      <c r="G416" s="5">
        <v>0.08</v>
      </c>
      <c r="H416" s="4" t="s">
        <v>64</v>
      </c>
      <c r="I416" s="5">
        <v>-37.6</v>
      </c>
      <c r="J416" s="2">
        <v>15.73</v>
      </c>
      <c r="K416" s="5">
        <v>7.42</v>
      </c>
      <c r="L416" s="4" t="s">
        <v>964</v>
      </c>
      <c r="M416" s="4" t="s">
        <v>57</v>
      </c>
      <c r="N416" s="4" t="s">
        <v>57</v>
      </c>
      <c r="O416" s="4" t="s">
        <v>27</v>
      </c>
      <c r="P416" s="4" t="s">
        <v>19</v>
      </c>
      <c r="Q416" s="4" t="s">
        <v>28</v>
      </c>
      <c r="R416" s="2" t="s">
        <v>965</v>
      </c>
      <c r="S416" s="4" t="s">
        <v>30</v>
      </c>
      <c r="T416" s="2">
        <v>0.56000000000000005</v>
      </c>
      <c r="U416" s="3">
        <v>40074</v>
      </c>
    </row>
    <row r="417" spans="1:21">
      <c r="A417" s="2">
        <v>1442</v>
      </c>
      <c r="B417" s="2">
        <v>10435</v>
      </c>
      <c r="C417" s="6">
        <v>40400</v>
      </c>
      <c r="D417" s="4" t="s">
        <v>72</v>
      </c>
      <c r="E417" s="2">
        <v>38</v>
      </c>
      <c r="F417" s="5">
        <v>871.25</v>
      </c>
      <c r="G417" s="5">
        <v>0.06</v>
      </c>
      <c r="H417" s="4" t="s">
        <v>15</v>
      </c>
      <c r="I417" s="5">
        <v>-14.31</v>
      </c>
      <c r="J417" s="2">
        <v>22.99</v>
      </c>
      <c r="K417" s="5">
        <v>8.99</v>
      </c>
      <c r="L417" s="4" t="s">
        <v>966</v>
      </c>
      <c r="M417" s="4" t="s">
        <v>199</v>
      </c>
      <c r="N417" s="4" t="s">
        <v>86</v>
      </c>
      <c r="O417" s="4" t="s">
        <v>27</v>
      </c>
      <c r="P417" s="4" t="s">
        <v>19</v>
      </c>
      <c r="Q417" s="4" t="s">
        <v>48</v>
      </c>
      <c r="R417" s="2" t="s">
        <v>967</v>
      </c>
      <c r="S417" s="4" t="s">
        <v>30</v>
      </c>
      <c r="T417" s="2">
        <v>0.56999999999999995</v>
      </c>
      <c r="U417" s="3">
        <v>40402</v>
      </c>
    </row>
    <row r="418" spans="1:21">
      <c r="A418" s="2">
        <v>1452</v>
      </c>
      <c r="B418" s="2">
        <v>10470</v>
      </c>
      <c r="C418" s="6">
        <v>41033</v>
      </c>
      <c r="D418" s="4" t="s">
        <v>14</v>
      </c>
      <c r="E418" s="2">
        <v>40</v>
      </c>
      <c r="F418" s="5">
        <v>1757.43</v>
      </c>
      <c r="G418" s="5">
        <v>0.02</v>
      </c>
      <c r="H418" s="4" t="s">
        <v>64</v>
      </c>
      <c r="I418" s="5">
        <v>490.77</v>
      </c>
      <c r="J418" s="2">
        <v>44.01</v>
      </c>
      <c r="K418" s="5">
        <v>3.5</v>
      </c>
      <c r="L418" s="4" t="s">
        <v>969</v>
      </c>
      <c r="M418" s="4" t="s">
        <v>57</v>
      </c>
      <c r="N418" s="4" t="s">
        <v>57</v>
      </c>
      <c r="O418" s="4" t="s">
        <v>27</v>
      </c>
      <c r="P418" s="4" t="s">
        <v>19</v>
      </c>
      <c r="Q418" s="4" t="s">
        <v>117</v>
      </c>
      <c r="R418" s="2" t="s">
        <v>970</v>
      </c>
      <c r="S418" s="4" t="s">
        <v>51</v>
      </c>
      <c r="T418" s="2">
        <v>0.59</v>
      </c>
      <c r="U418" s="3">
        <v>41035</v>
      </c>
    </row>
    <row r="419" spans="1:21">
      <c r="A419" s="2">
        <v>1457</v>
      </c>
      <c r="B419" s="2">
        <v>10499</v>
      </c>
      <c r="C419" s="6">
        <v>40498</v>
      </c>
      <c r="D419" s="4" t="s">
        <v>23</v>
      </c>
      <c r="E419" s="2">
        <v>29</v>
      </c>
      <c r="F419" s="5">
        <v>6250.9359999999997</v>
      </c>
      <c r="G419" s="5">
        <v>0.01</v>
      </c>
      <c r="H419" s="4" t="s">
        <v>37</v>
      </c>
      <c r="I419" s="5">
        <v>31.21</v>
      </c>
      <c r="J419" s="2">
        <v>262.11</v>
      </c>
      <c r="K419" s="5">
        <v>62.74</v>
      </c>
      <c r="L419" s="4" t="s">
        <v>971</v>
      </c>
      <c r="M419" s="4" t="s">
        <v>926</v>
      </c>
      <c r="N419" s="4" t="s">
        <v>926</v>
      </c>
      <c r="O419" s="4" t="s">
        <v>27</v>
      </c>
      <c r="P419" s="4" t="s">
        <v>33</v>
      </c>
      <c r="Q419" s="4" t="s">
        <v>38</v>
      </c>
      <c r="R419" s="2" t="s">
        <v>972</v>
      </c>
      <c r="S419" s="4" t="s">
        <v>39</v>
      </c>
      <c r="T419" s="2">
        <v>0.75</v>
      </c>
      <c r="U419" s="3">
        <v>40499</v>
      </c>
    </row>
    <row r="420" spans="1:21">
      <c r="A420" s="2">
        <v>1460</v>
      </c>
      <c r="B420" s="2">
        <v>10528</v>
      </c>
      <c r="C420" s="6">
        <v>40069</v>
      </c>
      <c r="D420" s="4" t="s">
        <v>72</v>
      </c>
      <c r="E420" s="2">
        <v>47</v>
      </c>
      <c r="F420" s="5">
        <v>838.4</v>
      </c>
      <c r="G420" s="5">
        <v>0.02</v>
      </c>
      <c r="H420" s="4" t="s">
        <v>64</v>
      </c>
      <c r="I420" s="5">
        <v>-132.91</v>
      </c>
      <c r="J420" s="2">
        <v>17.7</v>
      </c>
      <c r="K420" s="5">
        <v>9.4700000000000006</v>
      </c>
      <c r="L420" s="4" t="s">
        <v>973</v>
      </c>
      <c r="M420" s="4" t="s">
        <v>43</v>
      </c>
      <c r="N420" s="4" t="s">
        <v>44</v>
      </c>
      <c r="O420" s="4" t="s">
        <v>27</v>
      </c>
      <c r="P420" s="4" t="s">
        <v>19</v>
      </c>
      <c r="Q420" s="4" t="s">
        <v>20</v>
      </c>
      <c r="R420" s="2" t="s">
        <v>185</v>
      </c>
      <c r="S420" s="4" t="s">
        <v>51</v>
      </c>
      <c r="T420" s="2">
        <v>0.59</v>
      </c>
      <c r="U420" s="3">
        <v>40071</v>
      </c>
    </row>
    <row r="421" spans="1:21">
      <c r="A421" s="2">
        <v>1467</v>
      </c>
      <c r="B421" s="2">
        <v>10567</v>
      </c>
      <c r="C421" s="6">
        <v>40997</v>
      </c>
      <c r="D421" s="4" t="s">
        <v>31</v>
      </c>
      <c r="E421" s="2">
        <v>10</v>
      </c>
      <c r="F421" s="5">
        <v>1111.008</v>
      </c>
      <c r="G421" s="5">
        <v>0.09</v>
      </c>
      <c r="H421" s="4" t="s">
        <v>37</v>
      </c>
      <c r="I421" s="5">
        <v>-146.29</v>
      </c>
      <c r="J421" s="2">
        <v>146.34</v>
      </c>
      <c r="K421" s="5">
        <v>43.75</v>
      </c>
      <c r="L421" s="4" t="s">
        <v>974</v>
      </c>
      <c r="M421" s="4" t="s">
        <v>43</v>
      </c>
      <c r="N421" s="4" t="s">
        <v>44</v>
      </c>
      <c r="O421" s="4" t="s">
        <v>54</v>
      </c>
      <c r="P421" s="4" t="s">
        <v>33</v>
      </c>
      <c r="Q421" s="4" t="s">
        <v>38</v>
      </c>
      <c r="R421" s="2" t="s">
        <v>688</v>
      </c>
      <c r="S421" s="4" t="s">
        <v>39</v>
      </c>
      <c r="T421" s="2">
        <v>0.65</v>
      </c>
      <c r="U421" s="3">
        <v>40998</v>
      </c>
    </row>
    <row r="422" spans="1:21">
      <c r="A422" s="2">
        <v>1470</v>
      </c>
      <c r="B422" s="2">
        <v>10624</v>
      </c>
      <c r="C422" s="6">
        <v>40167</v>
      </c>
      <c r="D422" s="4" t="s">
        <v>52</v>
      </c>
      <c r="E422" s="2">
        <v>23</v>
      </c>
      <c r="F422" s="5">
        <v>1082.43</v>
      </c>
      <c r="G422" s="5">
        <v>0.06</v>
      </c>
      <c r="H422" s="4" t="s">
        <v>15</v>
      </c>
      <c r="I422" s="5">
        <v>23.97</v>
      </c>
      <c r="J422" s="2">
        <v>47.98</v>
      </c>
      <c r="K422" s="5">
        <v>3.61</v>
      </c>
      <c r="L422" s="4" t="s">
        <v>975</v>
      </c>
      <c r="M422" s="4" t="s">
        <v>57</v>
      </c>
      <c r="N422" s="4" t="s">
        <v>57</v>
      </c>
      <c r="O422" s="4" t="s">
        <v>27</v>
      </c>
      <c r="P422" s="4" t="s">
        <v>40</v>
      </c>
      <c r="Q422" s="4" t="s">
        <v>45</v>
      </c>
      <c r="R422" s="2" t="s">
        <v>241</v>
      </c>
      <c r="S422" s="4" t="s">
        <v>30</v>
      </c>
      <c r="T422" s="2">
        <v>0.71</v>
      </c>
      <c r="U422" s="3">
        <v>40169</v>
      </c>
    </row>
    <row r="423" spans="1:21">
      <c r="A423" s="2">
        <v>1474</v>
      </c>
      <c r="B423" s="2">
        <v>10630</v>
      </c>
      <c r="C423" s="6">
        <v>40213</v>
      </c>
      <c r="D423" s="4" t="s">
        <v>72</v>
      </c>
      <c r="E423" s="2">
        <v>44</v>
      </c>
      <c r="F423" s="5">
        <v>2773.84</v>
      </c>
      <c r="G423" s="5">
        <v>0</v>
      </c>
      <c r="H423" s="4" t="s">
        <v>37</v>
      </c>
      <c r="I423" s="5">
        <v>-513.76</v>
      </c>
      <c r="J423" s="2">
        <v>58.14</v>
      </c>
      <c r="K423" s="5">
        <v>36.61</v>
      </c>
      <c r="L423" s="4" t="s">
        <v>976</v>
      </c>
      <c r="M423" s="4" t="s">
        <v>258</v>
      </c>
      <c r="N423" s="4" t="s">
        <v>86</v>
      </c>
      <c r="O423" s="4" t="s">
        <v>27</v>
      </c>
      <c r="P423" s="4" t="s">
        <v>33</v>
      </c>
      <c r="Q423" s="4" t="s">
        <v>87</v>
      </c>
      <c r="R423" s="2" t="s">
        <v>882</v>
      </c>
      <c r="S423" s="4" t="s">
        <v>39</v>
      </c>
      <c r="T423" s="2">
        <v>0.61</v>
      </c>
      <c r="U423" s="3">
        <v>40215</v>
      </c>
    </row>
    <row r="424" spans="1:21">
      <c r="A424" s="2">
        <v>1477</v>
      </c>
      <c r="B424" s="2">
        <v>10658</v>
      </c>
      <c r="C424" s="6">
        <v>40052</v>
      </c>
      <c r="D424" s="4" t="s">
        <v>14</v>
      </c>
      <c r="E424" s="2">
        <v>31</v>
      </c>
      <c r="F424" s="5">
        <v>262.54000000000002</v>
      </c>
      <c r="G424" s="5">
        <v>0.04</v>
      </c>
      <c r="H424" s="4" t="s">
        <v>15</v>
      </c>
      <c r="I424" s="5">
        <v>29.24</v>
      </c>
      <c r="J424" s="2">
        <v>8.5</v>
      </c>
      <c r="K424" s="5">
        <v>1.99</v>
      </c>
      <c r="L424" s="4" t="s">
        <v>977</v>
      </c>
      <c r="M424" s="4" t="s">
        <v>74</v>
      </c>
      <c r="N424" s="4" t="s">
        <v>74</v>
      </c>
      <c r="O424" s="4" t="s">
        <v>60</v>
      </c>
      <c r="P424" s="4" t="s">
        <v>40</v>
      </c>
      <c r="Q424" s="4" t="s">
        <v>45</v>
      </c>
      <c r="R424" s="2" t="s">
        <v>667</v>
      </c>
      <c r="S424" s="4" t="s">
        <v>30</v>
      </c>
      <c r="T424" s="2">
        <v>0.49</v>
      </c>
      <c r="U424" s="3">
        <v>40056</v>
      </c>
    </row>
    <row r="425" spans="1:21">
      <c r="A425" s="2">
        <v>1480</v>
      </c>
      <c r="B425" s="2">
        <v>10659</v>
      </c>
      <c r="C425" s="6">
        <v>39947</v>
      </c>
      <c r="D425" s="4" t="s">
        <v>52</v>
      </c>
      <c r="E425" s="2">
        <v>40</v>
      </c>
      <c r="F425" s="5">
        <v>227.37</v>
      </c>
      <c r="G425" s="5">
        <v>0</v>
      </c>
      <c r="H425" s="4" t="s">
        <v>15</v>
      </c>
      <c r="I425" s="5">
        <v>-92.07</v>
      </c>
      <c r="J425" s="2">
        <v>5.28</v>
      </c>
      <c r="K425" s="5">
        <v>5.61</v>
      </c>
      <c r="L425" s="4" t="s">
        <v>978</v>
      </c>
      <c r="M425" s="4" t="s">
        <v>70</v>
      </c>
      <c r="N425" s="4" t="s">
        <v>44</v>
      </c>
      <c r="O425" s="4" t="s">
        <v>27</v>
      </c>
      <c r="P425" s="4" t="s">
        <v>19</v>
      </c>
      <c r="Q425" s="4" t="s">
        <v>78</v>
      </c>
      <c r="R425" s="2" t="s">
        <v>979</v>
      </c>
      <c r="S425" s="4" t="s">
        <v>51</v>
      </c>
      <c r="T425" s="2">
        <v>0.4</v>
      </c>
      <c r="U425" s="3">
        <v>39947</v>
      </c>
    </row>
    <row r="426" spans="1:21">
      <c r="A426" s="2">
        <v>1481</v>
      </c>
      <c r="B426" s="2">
        <v>10661</v>
      </c>
      <c r="C426" s="6">
        <v>39836</v>
      </c>
      <c r="D426" s="4" t="s">
        <v>23</v>
      </c>
      <c r="E426" s="2">
        <v>18</v>
      </c>
      <c r="F426" s="5">
        <v>136.41</v>
      </c>
      <c r="G426" s="5">
        <v>0</v>
      </c>
      <c r="H426" s="4" t="s">
        <v>15</v>
      </c>
      <c r="I426" s="5">
        <v>-99.34</v>
      </c>
      <c r="J426" s="2">
        <v>6.84</v>
      </c>
      <c r="K426" s="5">
        <v>8.3699999999999992</v>
      </c>
      <c r="L426" s="4" t="s">
        <v>980</v>
      </c>
      <c r="M426" s="4" t="s">
        <v>47</v>
      </c>
      <c r="N426" s="4" t="s">
        <v>26</v>
      </c>
      <c r="O426" s="4" t="s">
        <v>60</v>
      </c>
      <c r="P426" s="4" t="s">
        <v>19</v>
      </c>
      <c r="Q426" s="4" t="s">
        <v>28</v>
      </c>
      <c r="R426" s="2" t="s">
        <v>821</v>
      </c>
      <c r="S426" s="4" t="s">
        <v>30</v>
      </c>
      <c r="T426" s="2">
        <v>0.57999999999999996</v>
      </c>
      <c r="U426" s="3">
        <v>39837</v>
      </c>
    </row>
    <row r="427" spans="1:21">
      <c r="A427" s="2">
        <v>1483</v>
      </c>
      <c r="B427" s="2">
        <v>10662</v>
      </c>
      <c r="C427" s="6">
        <v>40675</v>
      </c>
      <c r="D427" s="4" t="s">
        <v>14</v>
      </c>
      <c r="E427" s="2">
        <v>45</v>
      </c>
      <c r="F427" s="5">
        <v>283.13</v>
      </c>
      <c r="G427" s="5">
        <v>0.08</v>
      </c>
      <c r="H427" s="4" t="s">
        <v>15</v>
      </c>
      <c r="I427" s="5">
        <v>-141.26</v>
      </c>
      <c r="J427" s="2">
        <v>6.48</v>
      </c>
      <c r="K427" s="5">
        <v>6.81</v>
      </c>
      <c r="L427" s="4" t="s">
        <v>981</v>
      </c>
      <c r="M427" s="4" t="s">
        <v>74</v>
      </c>
      <c r="N427" s="4" t="s">
        <v>74</v>
      </c>
      <c r="O427" s="4" t="s">
        <v>54</v>
      </c>
      <c r="P427" s="4" t="s">
        <v>19</v>
      </c>
      <c r="Q427" s="4" t="s">
        <v>78</v>
      </c>
      <c r="R427" s="2" t="s">
        <v>541</v>
      </c>
      <c r="S427" s="4" t="s">
        <v>51</v>
      </c>
      <c r="T427" s="2">
        <v>0.36</v>
      </c>
      <c r="U427" s="3">
        <v>40684</v>
      </c>
    </row>
    <row r="428" spans="1:21">
      <c r="A428" s="2">
        <v>1489</v>
      </c>
      <c r="B428" s="2">
        <v>10695</v>
      </c>
      <c r="C428" s="6">
        <v>40665</v>
      </c>
      <c r="D428" s="4" t="s">
        <v>31</v>
      </c>
      <c r="E428" s="2">
        <v>39</v>
      </c>
      <c r="F428" s="5">
        <v>6330.0860000000002</v>
      </c>
      <c r="G428" s="5">
        <v>0.1</v>
      </c>
      <c r="H428" s="4" t="s">
        <v>15</v>
      </c>
      <c r="I428" s="5">
        <v>1421.89</v>
      </c>
      <c r="J428" s="2">
        <v>205.99</v>
      </c>
      <c r="K428" s="5">
        <v>2.5</v>
      </c>
      <c r="L428" s="4" t="s">
        <v>982</v>
      </c>
      <c r="M428" s="4" t="s">
        <v>70</v>
      </c>
      <c r="N428" s="4" t="s">
        <v>44</v>
      </c>
      <c r="O428" s="4" t="s">
        <v>27</v>
      </c>
      <c r="P428" s="4" t="s">
        <v>40</v>
      </c>
      <c r="Q428" s="4" t="s">
        <v>41</v>
      </c>
      <c r="R428" s="2" t="s">
        <v>983</v>
      </c>
      <c r="S428" s="4" t="s">
        <v>51</v>
      </c>
      <c r="T428" s="2">
        <v>0.59</v>
      </c>
      <c r="U428" s="3">
        <v>40666</v>
      </c>
    </row>
    <row r="429" spans="1:21">
      <c r="A429" s="2">
        <v>1492</v>
      </c>
      <c r="B429" s="2">
        <v>10754</v>
      </c>
      <c r="C429" s="6">
        <v>40254</v>
      </c>
      <c r="D429" s="4" t="s">
        <v>14</v>
      </c>
      <c r="E429" s="2">
        <v>7</v>
      </c>
      <c r="F429" s="5">
        <v>48.04</v>
      </c>
      <c r="G429" s="5">
        <v>0.09</v>
      </c>
      <c r="H429" s="4" t="s">
        <v>15</v>
      </c>
      <c r="I429" s="5">
        <v>-23.28</v>
      </c>
      <c r="J429" s="2">
        <v>6.48</v>
      </c>
      <c r="K429" s="5">
        <v>5.94</v>
      </c>
      <c r="L429" s="4" t="s">
        <v>984</v>
      </c>
      <c r="M429" s="4" t="s">
        <v>43</v>
      </c>
      <c r="N429" s="4" t="s">
        <v>44</v>
      </c>
      <c r="O429" s="4" t="s">
        <v>27</v>
      </c>
      <c r="P429" s="4" t="s">
        <v>19</v>
      </c>
      <c r="Q429" s="4" t="s">
        <v>78</v>
      </c>
      <c r="R429" s="2" t="s">
        <v>839</v>
      </c>
      <c r="S429" s="4" t="s">
        <v>51</v>
      </c>
      <c r="T429" s="2">
        <v>0.37</v>
      </c>
      <c r="U429" s="3">
        <v>40256</v>
      </c>
    </row>
    <row r="430" spans="1:21">
      <c r="A430" s="2">
        <v>1495</v>
      </c>
      <c r="B430" s="2">
        <v>10789</v>
      </c>
      <c r="C430" s="6">
        <v>40413</v>
      </c>
      <c r="D430" s="4" t="s">
        <v>23</v>
      </c>
      <c r="E430" s="2">
        <v>15</v>
      </c>
      <c r="F430" s="5">
        <v>308.54000000000002</v>
      </c>
      <c r="G430" s="5">
        <v>0</v>
      </c>
      <c r="H430" s="4" t="s">
        <v>64</v>
      </c>
      <c r="I430" s="5">
        <v>76.42</v>
      </c>
      <c r="J430" s="2">
        <v>19.84</v>
      </c>
      <c r="K430" s="5">
        <v>4.0999999999999996</v>
      </c>
      <c r="L430" s="4" t="s">
        <v>986</v>
      </c>
      <c r="M430" s="4" t="s">
        <v>926</v>
      </c>
      <c r="N430" s="4" t="s">
        <v>926</v>
      </c>
      <c r="O430" s="4" t="s">
        <v>27</v>
      </c>
      <c r="P430" s="4" t="s">
        <v>19</v>
      </c>
      <c r="Q430" s="4" t="s">
        <v>48</v>
      </c>
      <c r="R430" s="2" t="s">
        <v>108</v>
      </c>
      <c r="S430" s="4" t="s">
        <v>50</v>
      </c>
      <c r="T430" s="2">
        <v>0.44</v>
      </c>
      <c r="U430" s="3">
        <v>40414</v>
      </c>
    </row>
    <row r="431" spans="1:21">
      <c r="A431" s="2">
        <v>1496</v>
      </c>
      <c r="B431" s="2">
        <v>10791</v>
      </c>
      <c r="C431" s="6">
        <v>40774</v>
      </c>
      <c r="D431" s="4" t="s">
        <v>23</v>
      </c>
      <c r="E431" s="2">
        <v>20</v>
      </c>
      <c r="F431" s="5">
        <v>400.57</v>
      </c>
      <c r="G431" s="5">
        <v>0.05</v>
      </c>
      <c r="H431" s="4" t="s">
        <v>15</v>
      </c>
      <c r="I431" s="5">
        <v>93.36</v>
      </c>
      <c r="J431" s="2">
        <v>19.98</v>
      </c>
      <c r="K431" s="5">
        <v>5.77</v>
      </c>
      <c r="L431" s="4" t="s">
        <v>987</v>
      </c>
      <c r="M431" s="4" t="s">
        <v>926</v>
      </c>
      <c r="N431" s="4" t="s">
        <v>926</v>
      </c>
      <c r="O431" s="4" t="s">
        <v>18</v>
      </c>
      <c r="P431" s="4" t="s">
        <v>19</v>
      </c>
      <c r="Q431" s="4" t="s">
        <v>78</v>
      </c>
      <c r="R431" s="2" t="s">
        <v>988</v>
      </c>
      <c r="S431" s="4" t="s">
        <v>51</v>
      </c>
      <c r="T431" s="2">
        <v>0.38</v>
      </c>
      <c r="U431" s="3">
        <v>40776</v>
      </c>
    </row>
    <row r="432" spans="1:21">
      <c r="A432" s="2">
        <v>1501</v>
      </c>
      <c r="B432" s="2">
        <v>10851</v>
      </c>
      <c r="C432" s="6">
        <v>39909</v>
      </c>
      <c r="D432" s="4" t="s">
        <v>31</v>
      </c>
      <c r="E432" s="2">
        <v>50</v>
      </c>
      <c r="F432" s="5">
        <v>608.21</v>
      </c>
      <c r="G432" s="5">
        <v>0.09</v>
      </c>
      <c r="H432" s="4" t="s">
        <v>15</v>
      </c>
      <c r="I432" s="5">
        <v>-175.13</v>
      </c>
      <c r="J432" s="2">
        <v>12.88</v>
      </c>
      <c r="K432" s="5">
        <v>4.59</v>
      </c>
      <c r="L432" s="4" t="s">
        <v>989</v>
      </c>
      <c r="M432" s="4" t="s">
        <v>199</v>
      </c>
      <c r="N432" s="4" t="s">
        <v>86</v>
      </c>
      <c r="O432" s="4" t="s">
        <v>60</v>
      </c>
      <c r="P432" s="4" t="s">
        <v>19</v>
      </c>
      <c r="Q432" s="4" t="s">
        <v>28</v>
      </c>
      <c r="R432" s="2" t="s">
        <v>990</v>
      </c>
      <c r="S432" s="4" t="s">
        <v>50</v>
      </c>
      <c r="T432" s="2">
        <v>0.82</v>
      </c>
      <c r="U432" s="3">
        <v>39909</v>
      </c>
    </row>
    <row r="433" spans="1:21">
      <c r="A433" s="2">
        <v>1511</v>
      </c>
      <c r="B433" s="2">
        <v>10919</v>
      </c>
      <c r="C433" s="6">
        <v>40264</v>
      </c>
      <c r="D433" s="4" t="s">
        <v>31</v>
      </c>
      <c r="E433" s="2">
        <v>42</v>
      </c>
      <c r="F433" s="5">
        <v>2040.95</v>
      </c>
      <c r="G433" s="5">
        <v>7.0000000000000007E-2</v>
      </c>
      <c r="H433" s="4" t="s">
        <v>15</v>
      </c>
      <c r="I433" s="5">
        <v>-1231.8699999999999</v>
      </c>
      <c r="J433" s="2">
        <v>48.91</v>
      </c>
      <c r="K433" s="5">
        <v>35</v>
      </c>
      <c r="L433" s="4" t="s">
        <v>993</v>
      </c>
      <c r="M433" s="4" t="s">
        <v>66</v>
      </c>
      <c r="N433" s="4" t="s">
        <v>66</v>
      </c>
      <c r="O433" s="4" t="s">
        <v>27</v>
      </c>
      <c r="P433" s="4" t="s">
        <v>19</v>
      </c>
      <c r="Q433" s="4" t="s">
        <v>20</v>
      </c>
      <c r="R433" s="2" t="s">
        <v>822</v>
      </c>
      <c r="S433" s="4" t="s">
        <v>22</v>
      </c>
      <c r="T433" s="2">
        <v>0.83</v>
      </c>
      <c r="U433" s="3">
        <v>40264</v>
      </c>
    </row>
    <row r="434" spans="1:21">
      <c r="A434" s="2">
        <v>1532</v>
      </c>
      <c r="B434" s="2">
        <v>11040</v>
      </c>
      <c r="C434" s="6">
        <v>40839</v>
      </c>
      <c r="D434" s="4" t="s">
        <v>23</v>
      </c>
      <c r="E434" s="2">
        <v>44</v>
      </c>
      <c r="F434" s="5">
        <v>1102.28</v>
      </c>
      <c r="G434" s="5">
        <v>0.03</v>
      </c>
      <c r="H434" s="4" t="s">
        <v>15</v>
      </c>
      <c r="I434" s="5">
        <v>389.61</v>
      </c>
      <c r="J434" s="2">
        <v>23.99</v>
      </c>
      <c r="K434" s="5">
        <v>6.71</v>
      </c>
      <c r="L434" s="4" t="s">
        <v>996</v>
      </c>
      <c r="M434" s="4" t="s">
        <v>57</v>
      </c>
      <c r="N434" s="4" t="s">
        <v>57</v>
      </c>
      <c r="O434" s="4" t="s">
        <v>27</v>
      </c>
      <c r="P434" s="4" t="s">
        <v>19</v>
      </c>
      <c r="Q434" s="4" t="s">
        <v>128</v>
      </c>
      <c r="R434" s="2" t="s">
        <v>997</v>
      </c>
      <c r="S434" s="4" t="s">
        <v>51</v>
      </c>
      <c r="T434" s="2">
        <v>0.35</v>
      </c>
      <c r="U434" s="3">
        <v>40839</v>
      </c>
    </row>
    <row r="435" spans="1:21">
      <c r="A435" s="2">
        <v>1537</v>
      </c>
      <c r="B435" s="2">
        <v>11074</v>
      </c>
      <c r="C435" s="6">
        <v>40703</v>
      </c>
      <c r="D435" s="4" t="s">
        <v>31</v>
      </c>
      <c r="E435" s="2">
        <v>21</v>
      </c>
      <c r="F435" s="5">
        <v>114.53</v>
      </c>
      <c r="G435" s="5">
        <v>7.0000000000000007E-2</v>
      </c>
      <c r="H435" s="4" t="s">
        <v>15</v>
      </c>
      <c r="I435" s="5">
        <v>-39.229999999999997</v>
      </c>
      <c r="J435" s="2">
        <v>5.68</v>
      </c>
      <c r="K435" s="5">
        <v>3.6</v>
      </c>
      <c r="L435" s="4" t="s">
        <v>998</v>
      </c>
      <c r="M435" s="4" t="s">
        <v>47</v>
      </c>
      <c r="N435" s="4" t="s">
        <v>26</v>
      </c>
      <c r="O435" s="4" t="s">
        <v>27</v>
      </c>
      <c r="P435" s="4" t="s">
        <v>19</v>
      </c>
      <c r="Q435" s="4" t="s">
        <v>28</v>
      </c>
      <c r="R435" s="2" t="s">
        <v>956</v>
      </c>
      <c r="S435" s="4" t="s">
        <v>30</v>
      </c>
      <c r="T435" s="2">
        <v>0.56000000000000005</v>
      </c>
      <c r="U435" s="3">
        <v>40705</v>
      </c>
    </row>
    <row r="436" spans="1:21">
      <c r="A436" s="2">
        <v>1549</v>
      </c>
      <c r="B436" s="2">
        <v>11173</v>
      </c>
      <c r="C436" s="6">
        <v>40998</v>
      </c>
      <c r="D436" s="4" t="s">
        <v>52</v>
      </c>
      <c r="E436" s="2">
        <v>37</v>
      </c>
      <c r="F436" s="5">
        <v>221.66</v>
      </c>
      <c r="G436" s="5">
        <v>0.08</v>
      </c>
      <c r="H436" s="4" t="s">
        <v>15</v>
      </c>
      <c r="I436" s="5">
        <v>-95.17</v>
      </c>
      <c r="J436" s="2">
        <v>5.98</v>
      </c>
      <c r="K436" s="5">
        <v>3.85</v>
      </c>
      <c r="L436" s="4" t="s">
        <v>1002</v>
      </c>
      <c r="M436" s="4" t="s">
        <v>57</v>
      </c>
      <c r="N436" s="4" t="s">
        <v>57</v>
      </c>
      <c r="O436" s="4" t="s">
        <v>27</v>
      </c>
      <c r="P436" s="4" t="s">
        <v>40</v>
      </c>
      <c r="Q436" s="4" t="s">
        <v>45</v>
      </c>
      <c r="R436" s="2" t="s">
        <v>764</v>
      </c>
      <c r="S436" s="4" t="s">
        <v>30</v>
      </c>
      <c r="T436" s="2">
        <v>0.68</v>
      </c>
      <c r="U436" s="3">
        <v>41000</v>
      </c>
    </row>
    <row r="437" spans="1:21">
      <c r="A437" s="2">
        <v>1554</v>
      </c>
      <c r="B437" s="2">
        <v>11233</v>
      </c>
      <c r="C437" s="6">
        <v>40785</v>
      </c>
      <c r="D437" s="4" t="s">
        <v>23</v>
      </c>
      <c r="E437" s="2">
        <v>25</v>
      </c>
      <c r="F437" s="5">
        <v>276.5</v>
      </c>
      <c r="G437" s="5">
        <v>0.02</v>
      </c>
      <c r="H437" s="4" t="s">
        <v>15</v>
      </c>
      <c r="I437" s="5">
        <v>35.72</v>
      </c>
      <c r="J437" s="2">
        <v>10.98</v>
      </c>
      <c r="K437" s="5">
        <v>4.8</v>
      </c>
      <c r="L437" s="4" t="s">
        <v>1003</v>
      </c>
      <c r="M437" s="4" t="s">
        <v>57</v>
      </c>
      <c r="N437" s="4" t="s">
        <v>57</v>
      </c>
      <c r="O437" s="4" t="s">
        <v>27</v>
      </c>
      <c r="P437" s="4" t="s">
        <v>19</v>
      </c>
      <c r="Q437" s="4" t="s">
        <v>128</v>
      </c>
      <c r="R437" s="2" t="s">
        <v>744</v>
      </c>
      <c r="S437" s="4" t="s">
        <v>51</v>
      </c>
      <c r="T437" s="2">
        <v>0.36</v>
      </c>
      <c r="U437" s="3">
        <v>40787</v>
      </c>
    </row>
    <row r="438" spans="1:21">
      <c r="A438" s="2">
        <v>1564</v>
      </c>
      <c r="B438" s="2">
        <v>11271</v>
      </c>
      <c r="C438" s="6">
        <v>40834</v>
      </c>
      <c r="D438" s="4" t="s">
        <v>31</v>
      </c>
      <c r="E438" s="2">
        <v>46</v>
      </c>
      <c r="F438" s="5">
        <v>157.87</v>
      </c>
      <c r="G438" s="5">
        <v>0</v>
      </c>
      <c r="H438" s="4" t="s">
        <v>15</v>
      </c>
      <c r="I438" s="5">
        <v>-115.8</v>
      </c>
      <c r="J438" s="2">
        <v>3.28</v>
      </c>
      <c r="K438" s="5">
        <v>3.97</v>
      </c>
      <c r="L438" s="4" t="s">
        <v>1004</v>
      </c>
      <c r="M438" s="4" t="s">
        <v>85</v>
      </c>
      <c r="N438" s="4" t="s">
        <v>86</v>
      </c>
      <c r="O438" s="4" t="s">
        <v>27</v>
      </c>
      <c r="P438" s="4" t="s">
        <v>19</v>
      </c>
      <c r="Q438" s="4" t="s">
        <v>48</v>
      </c>
      <c r="R438" s="2" t="s">
        <v>894</v>
      </c>
      <c r="S438" s="4" t="s">
        <v>50</v>
      </c>
      <c r="T438" s="2">
        <v>0.56000000000000005</v>
      </c>
      <c r="U438" s="3">
        <v>40836</v>
      </c>
    </row>
    <row r="439" spans="1:21">
      <c r="A439" s="2">
        <v>1566</v>
      </c>
      <c r="B439" s="2">
        <v>11302</v>
      </c>
      <c r="C439" s="6">
        <v>39873</v>
      </c>
      <c r="D439" s="4" t="s">
        <v>14</v>
      </c>
      <c r="E439" s="2">
        <v>10</v>
      </c>
      <c r="F439" s="5">
        <v>866.66</v>
      </c>
      <c r="G439" s="5">
        <v>0.09</v>
      </c>
      <c r="H439" s="4" t="s">
        <v>37</v>
      </c>
      <c r="I439" s="5">
        <v>35.29</v>
      </c>
      <c r="J439" s="2">
        <v>90.97</v>
      </c>
      <c r="K439" s="5">
        <v>14</v>
      </c>
      <c r="L439" s="4" t="s">
        <v>1005</v>
      </c>
      <c r="M439" s="4" t="s">
        <v>57</v>
      </c>
      <c r="N439" s="4" t="s">
        <v>57</v>
      </c>
      <c r="O439" s="4" t="s">
        <v>54</v>
      </c>
      <c r="P439" s="4" t="s">
        <v>40</v>
      </c>
      <c r="Q439" s="4" t="s">
        <v>81</v>
      </c>
      <c r="R439" s="2" t="s">
        <v>617</v>
      </c>
      <c r="S439" s="4" t="s">
        <v>121</v>
      </c>
      <c r="T439" s="2">
        <v>0.36</v>
      </c>
      <c r="U439" s="3">
        <v>39875</v>
      </c>
    </row>
    <row r="440" spans="1:21">
      <c r="A440" s="2">
        <v>1571</v>
      </c>
      <c r="B440" s="2">
        <v>11362</v>
      </c>
      <c r="C440" s="6">
        <v>41162</v>
      </c>
      <c r="D440" s="4" t="s">
        <v>14</v>
      </c>
      <c r="E440" s="2">
        <v>32</v>
      </c>
      <c r="F440" s="5">
        <v>3245.73</v>
      </c>
      <c r="G440" s="5">
        <v>0.09</v>
      </c>
      <c r="H440" s="4" t="s">
        <v>15</v>
      </c>
      <c r="I440" s="5">
        <v>569.57000000000005</v>
      </c>
      <c r="J440" s="2">
        <v>110.98</v>
      </c>
      <c r="K440" s="5">
        <v>13.99</v>
      </c>
      <c r="L440" s="4" t="s">
        <v>1006</v>
      </c>
      <c r="M440" s="4" t="s">
        <v>199</v>
      </c>
      <c r="N440" s="4" t="s">
        <v>86</v>
      </c>
      <c r="O440" s="4" t="s">
        <v>27</v>
      </c>
      <c r="P440" s="4" t="s">
        <v>33</v>
      </c>
      <c r="Q440" s="4" t="s">
        <v>34</v>
      </c>
      <c r="R440" s="2" t="s">
        <v>289</v>
      </c>
      <c r="S440" s="4" t="s">
        <v>36</v>
      </c>
      <c r="T440" s="2">
        <v>0.69</v>
      </c>
      <c r="U440" s="3">
        <v>41164</v>
      </c>
    </row>
    <row r="441" spans="1:21">
      <c r="A441" s="2">
        <v>1575</v>
      </c>
      <c r="B441" s="2">
        <v>11392</v>
      </c>
      <c r="C441" s="6">
        <v>40061</v>
      </c>
      <c r="D441" s="4" t="s">
        <v>14</v>
      </c>
      <c r="E441" s="2">
        <v>28</v>
      </c>
      <c r="F441" s="5">
        <v>128.69</v>
      </c>
      <c r="G441" s="5">
        <v>0.04</v>
      </c>
      <c r="H441" s="4" t="s">
        <v>15</v>
      </c>
      <c r="I441" s="5">
        <v>28.29</v>
      </c>
      <c r="J441" s="2">
        <v>4.55</v>
      </c>
      <c r="K441" s="5">
        <v>1.49</v>
      </c>
      <c r="L441" s="4" t="s">
        <v>1007</v>
      </c>
      <c r="M441" s="4" t="s">
        <v>47</v>
      </c>
      <c r="N441" s="4" t="s">
        <v>26</v>
      </c>
      <c r="O441" s="4" t="s">
        <v>27</v>
      </c>
      <c r="P441" s="4" t="s">
        <v>19</v>
      </c>
      <c r="Q441" s="4" t="s">
        <v>111</v>
      </c>
      <c r="R441" s="2" t="s">
        <v>1008</v>
      </c>
      <c r="S441" s="4" t="s">
        <v>51</v>
      </c>
      <c r="T441" s="2">
        <v>0.35</v>
      </c>
      <c r="U441" s="3">
        <v>40063</v>
      </c>
    </row>
    <row r="442" spans="1:21">
      <c r="A442" s="2">
        <v>1579</v>
      </c>
      <c r="B442" s="2">
        <v>11425</v>
      </c>
      <c r="C442" s="6">
        <v>40716</v>
      </c>
      <c r="D442" s="4" t="s">
        <v>52</v>
      </c>
      <c r="E442" s="2">
        <v>29</v>
      </c>
      <c r="F442" s="5">
        <v>482.91</v>
      </c>
      <c r="G442" s="5">
        <v>0.1</v>
      </c>
      <c r="H442" s="4" t="s">
        <v>15</v>
      </c>
      <c r="I442" s="5">
        <v>-16.59</v>
      </c>
      <c r="J442" s="2">
        <v>16.91</v>
      </c>
      <c r="K442" s="5">
        <v>6.25</v>
      </c>
      <c r="L442" s="4" t="s">
        <v>1009</v>
      </c>
      <c r="M442" s="4" t="s">
        <v>57</v>
      </c>
      <c r="N442" s="4" t="s">
        <v>57</v>
      </c>
      <c r="O442" s="4" t="s">
        <v>60</v>
      </c>
      <c r="P442" s="4" t="s">
        <v>19</v>
      </c>
      <c r="Q442" s="4" t="s">
        <v>20</v>
      </c>
      <c r="R442" s="2" t="s">
        <v>1010</v>
      </c>
      <c r="S442" s="4" t="s">
        <v>51</v>
      </c>
      <c r="T442" s="2">
        <v>0.57999999999999996</v>
      </c>
      <c r="U442" s="3">
        <v>40717</v>
      </c>
    </row>
    <row r="443" spans="1:21">
      <c r="A443" s="2">
        <v>1581</v>
      </c>
      <c r="B443" s="2">
        <v>11426</v>
      </c>
      <c r="C443" s="6">
        <v>39940</v>
      </c>
      <c r="D443" s="4" t="s">
        <v>72</v>
      </c>
      <c r="E443" s="2">
        <v>19</v>
      </c>
      <c r="F443" s="5">
        <v>333.68</v>
      </c>
      <c r="G443" s="5">
        <v>0.01</v>
      </c>
      <c r="H443" s="4" t="s">
        <v>15</v>
      </c>
      <c r="I443" s="5">
        <v>81.96</v>
      </c>
      <c r="J443" s="2">
        <v>16.48</v>
      </c>
      <c r="K443" s="5">
        <v>1.99</v>
      </c>
      <c r="L443" s="4" t="s">
        <v>1011</v>
      </c>
      <c r="M443" s="4" t="s">
        <v>43</v>
      </c>
      <c r="N443" s="4" t="s">
        <v>44</v>
      </c>
      <c r="O443" s="4" t="s">
        <v>60</v>
      </c>
      <c r="P443" s="4" t="s">
        <v>40</v>
      </c>
      <c r="Q443" s="4" t="s">
        <v>45</v>
      </c>
      <c r="R443" s="2" t="s">
        <v>1012</v>
      </c>
      <c r="S443" s="4" t="s">
        <v>30</v>
      </c>
      <c r="T443" s="2">
        <v>0.42</v>
      </c>
      <c r="U443" s="3">
        <v>39941</v>
      </c>
    </row>
    <row r="444" spans="1:21">
      <c r="A444" s="2">
        <v>1600</v>
      </c>
      <c r="B444" s="2">
        <v>11585</v>
      </c>
      <c r="C444" s="6">
        <v>39887</v>
      </c>
      <c r="D444" s="4" t="s">
        <v>72</v>
      </c>
      <c r="E444" s="2">
        <v>17</v>
      </c>
      <c r="F444" s="5">
        <v>281.83999999999997</v>
      </c>
      <c r="G444" s="5">
        <v>0.1</v>
      </c>
      <c r="H444" s="4" t="s">
        <v>15</v>
      </c>
      <c r="I444" s="5">
        <v>-99.55</v>
      </c>
      <c r="J444" s="2">
        <v>17.98</v>
      </c>
      <c r="K444" s="5">
        <v>4</v>
      </c>
      <c r="L444" s="4" t="s">
        <v>1014</v>
      </c>
      <c r="M444" s="4" t="s">
        <v>85</v>
      </c>
      <c r="N444" s="4" t="s">
        <v>86</v>
      </c>
      <c r="O444" s="4" t="s">
        <v>60</v>
      </c>
      <c r="P444" s="4" t="s">
        <v>40</v>
      </c>
      <c r="Q444" s="4" t="s">
        <v>45</v>
      </c>
      <c r="R444" s="2" t="s">
        <v>968</v>
      </c>
      <c r="S444" s="4" t="s">
        <v>51</v>
      </c>
      <c r="T444" s="2">
        <v>0.79</v>
      </c>
      <c r="U444" s="3">
        <v>39888</v>
      </c>
    </row>
    <row r="445" spans="1:21">
      <c r="A445" s="2">
        <v>1606</v>
      </c>
      <c r="B445" s="2">
        <v>11651</v>
      </c>
      <c r="C445" s="6">
        <v>40596</v>
      </c>
      <c r="D445" s="4" t="s">
        <v>72</v>
      </c>
      <c r="E445" s="2">
        <v>19</v>
      </c>
      <c r="F445" s="5">
        <v>65.849999999999994</v>
      </c>
      <c r="G445" s="5">
        <v>7.0000000000000007E-2</v>
      </c>
      <c r="H445" s="4" t="s">
        <v>64</v>
      </c>
      <c r="I445" s="5">
        <v>3.9</v>
      </c>
      <c r="J445" s="2">
        <v>3.28</v>
      </c>
      <c r="K445" s="5">
        <v>0.98</v>
      </c>
      <c r="L445" s="4" t="s">
        <v>1015</v>
      </c>
      <c r="M445" s="4" t="s">
        <v>25</v>
      </c>
      <c r="N445" s="4" t="s">
        <v>26</v>
      </c>
      <c r="O445" s="4" t="s">
        <v>18</v>
      </c>
      <c r="P445" s="4" t="s">
        <v>19</v>
      </c>
      <c r="Q445" s="4" t="s">
        <v>48</v>
      </c>
      <c r="R445" s="2" t="s">
        <v>1016</v>
      </c>
      <c r="S445" s="4" t="s">
        <v>50</v>
      </c>
      <c r="T445" s="2">
        <v>0.59</v>
      </c>
      <c r="U445" s="3">
        <v>40598</v>
      </c>
    </row>
    <row r="446" spans="1:21">
      <c r="A446" s="2">
        <v>1660</v>
      </c>
      <c r="B446" s="2">
        <v>11969</v>
      </c>
      <c r="C446" s="6">
        <v>40927</v>
      </c>
      <c r="D446" s="4" t="s">
        <v>23</v>
      </c>
      <c r="E446" s="2">
        <v>16</v>
      </c>
      <c r="F446" s="5">
        <v>1684.96</v>
      </c>
      <c r="G446" s="5">
        <v>0.08</v>
      </c>
      <c r="H446" s="4" t="s">
        <v>15</v>
      </c>
      <c r="I446" s="5">
        <v>-553.05999999999995</v>
      </c>
      <c r="J446" s="2">
        <v>110.98</v>
      </c>
      <c r="K446" s="5">
        <v>35</v>
      </c>
      <c r="L446" s="4" t="s">
        <v>1020</v>
      </c>
      <c r="M446" s="4" t="s">
        <v>85</v>
      </c>
      <c r="N446" s="4" t="s">
        <v>86</v>
      </c>
      <c r="O446" s="4" t="s">
        <v>60</v>
      </c>
      <c r="P446" s="4" t="s">
        <v>19</v>
      </c>
      <c r="Q446" s="4" t="s">
        <v>20</v>
      </c>
      <c r="R446" s="2" t="s">
        <v>1021</v>
      </c>
      <c r="S446" s="4" t="s">
        <v>22</v>
      </c>
      <c r="T446" s="2">
        <v>0.82</v>
      </c>
      <c r="U446" s="3">
        <v>40928</v>
      </c>
    </row>
    <row r="447" spans="1:21">
      <c r="A447" s="2">
        <v>1663</v>
      </c>
      <c r="B447" s="2">
        <v>11972</v>
      </c>
      <c r="C447" s="6">
        <v>39816</v>
      </c>
      <c r="D447" s="4" t="s">
        <v>23</v>
      </c>
      <c r="E447" s="2">
        <v>4</v>
      </c>
      <c r="F447" s="5">
        <v>896.49</v>
      </c>
      <c r="G447" s="5">
        <v>0</v>
      </c>
      <c r="H447" s="4" t="s">
        <v>37</v>
      </c>
      <c r="I447" s="5">
        <v>-452.27</v>
      </c>
      <c r="J447" s="2">
        <v>213.45</v>
      </c>
      <c r="K447" s="5">
        <v>14.7</v>
      </c>
      <c r="L447" s="4" t="s">
        <v>1022</v>
      </c>
      <c r="M447" s="4" t="s">
        <v>25</v>
      </c>
      <c r="N447" s="4" t="s">
        <v>26</v>
      </c>
      <c r="O447" s="4" t="s">
        <v>27</v>
      </c>
      <c r="P447" s="4" t="s">
        <v>40</v>
      </c>
      <c r="Q447" s="4" t="s">
        <v>81</v>
      </c>
      <c r="R447" s="2" t="s">
        <v>1023</v>
      </c>
      <c r="S447" s="4" t="s">
        <v>121</v>
      </c>
      <c r="T447" s="2">
        <v>0.59</v>
      </c>
      <c r="U447" s="3">
        <v>39818</v>
      </c>
    </row>
    <row r="448" spans="1:21">
      <c r="A448" s="2">
        <v>1679</v>
      </c>
      <c r="B448" s="2">
        <v>12099</v>
      </c>
      <c r="C448" s="6">
        <v>40067</v>
      </c>
      <c r="D448" s="4" t="s">
        <v>52</v>
      </c>
      <c r="E448" s="2">
        <v>1</v>
      </c>
      <c r="F448" s="5">
        <v>17.59</v>
      </c>
      <c r="G448" s="5">
        <v>0.06</v>
      </c>
      <c r="H448" s="4" t="s">
        <v>64</v>
      </c>
      <c r="I448" s="5">
        <v>10.85</v>
      </c>
      <c r="J448" s="2">
        <v>2.61</v>
      </c>
      <c r="K448" s="5">
        <v>0.5</v>
      </c>
      <c r="L448" s="4" t="s">
        <v>1024</v>
      </c>
      <c r="M448" s="4" t="s">
        <v>74</v>
      </c>
      <c r="N448" s="4" t="s">
        <v>74</v>
      </c>
      <c r="O448" s="4" t="s">
        <v>27</v>
      </c>
      <c r="P448" s="4" t="s">
        <v>19</v>
      </c>
      <c r="Q448" s="4" t="s">
        <v>75</v>
      </c>
      <c r="R448" s="2" t="s">
        <v>438</v>
      </c>
      <c r="S448" s="4" t="s">
        <v>51</v>
      </c>
      <c r="T448" s="2">
        <v>0.39</v>
      </c>
      <c r="U448" s="3">
        <v>40067</v>
      </c>
    </row>
    <row r="449" spans="1:21">
      <c r="A449" s="2">
        <v>1682</v>
      </c>
      <c r="B449" s="2">
        <v>12130</v>
      </c>
      <c r="C449" s="6">
        <v>40886</v>
      </c>
      <c r="D449" s="4" t="s">
        <v>23</v>
      </c>
      <c r="E449" s="2">
        <v>37</v>
      </c>
      <c r="F449" s="5">
        <v>686.2</v>
      </c>
      <c r="G449" s="5">
        <v>0.04</v>
      </c>
      <c r="H449" s="4" t="s">
        <v>15</v>
      </c>
      <c r="I449" s="5">
        <v>290.2</v>
      </c>
      <c r="J449" s="2">
        <v>18.84</v>
      </c>
      <c r="K449" s="5">
        <v>3.62</v>
      </c>
      <c r="L449" s="4" t="s">
        <v>1025</v>
      </c>
      <c r="M449" s="4" t="s">
        <v>57</v>
      </c>
      <c r="N449" s="4" t="s">
        <v>57</v>
      </c>
      <c r="O449" s="4" t="s">
        <v>60</v>
      </c>
      <c r="P449" s="4" t="s">
        <v>33</v>
      </c>
      <c r="Q449" s="4" t="s">
        <v>34</v>
      </c>
      <c r="R449" s="2" t="s">
        <v>1026</v>
      </c>
      <c r="S449" s="4" t="s">
        <v>50</v>
      </c>
      <c r="T449" s="2">
        <v>0.43</v>
      </c>
      <c r="U449" s="3">
        <v>40889</v>
      </c>
    </row>
    <row r="450" spans="1:21">
      <c r="A450" s="2">
        <v>1709</v>
      </c>
      <c r="B450" s="2">
        <v>12263</v>
      </c>
      <c r="C450" s="6">
        <v>40730</v>
      </c>
      <c r="D450" s="4" t="s">
        <v>31</v>
      </c>
      <c r="E450" s="2">
        <v>12</v>
      </c>
      <c r="F450" s="5">
        <v>515.65</v>
      </c>
      <c r="G450" s="5">
        <v>0</v>
      </c>
      <c r="H450" s="4" t="s">
        <v>15</v>
      </c>
      <c r="I450" s="5">
        <v>123.5</v>
      </c>
      <c r="J450" s="2">
        <v>39.479999999999997</v>
      </c>
      <c r="K450" s="5">
        <v>3.99</v>
      </c>
      <c r="L450" s="4" t="s">
        <v>1027</v>
      </c>
      <c r="M450" s="4" t="s">
        <v>57</v>
      </c>
      <c r="N450" s="4" t="s">
        <v>57</v>
      </c>
      <c r="O450" s="4" t="s">
        <v>27</v>
      </c>
      <c r="P450" s="4" t="s">
        <v>19</v>
      </c>
      <c r="Q450" s="4" t="s">
        <v>117</v>
      </c>
      <c r="R450" s="2" t="s">
        <v>1028</v>
      </c>
      <c r="S450" s="4" t="s">
        <v>51</v>
      </c>
      <c r="T450" s="2">
        <v>0.56000000000000005</v>
      </c>
      <c r="U450" s="3">
        <v>40730</v>
      </c>
    </row>
    <row r="451" spans="1:21">
      <c r="A451" s="2">
        <v>1717</v>
      </c>
      <c r="B451" s="2">
        <v>12326</v>
      </c>
      <c r="C451" s="6">
        <v>40576</v>
      </c>
      <c r="D451" s="4" t="s">
        <v>52</v>
      </c>
      <c r="E451" s="2">
        <v>4</v>
      </c>
      <c r="F451" s="5">
        <v>123.82</v>
      </c>
      <c r="G451" s="5">
        <v>0.05</v>
      </c>
      <c r="H451" s="4" t="s">
        <v>15</v>
      </c>
      <c r="I451" s="5">
        <v>-0.37</v>
      </c>
      <c r="J451" s="2">
        <v>29.34</v>
      </c>
      <c r="K451" s="5">
        <v>57.87</v>
      </c>
      <c r="L451" s="4" t="s">
        <v>1029</v>
      </c>
      <c r="M451" s="4" t="s">
        <v>57</v>
      </c>
      <c r="N451" s="4" t="s">
        <v>57</v>
      </c>
      <c r="O451" s="4" t="s">
        <v>18</v>
      </c>
      <c r="P451" s="4" t="s">
        <v>33</v>
      </c>
      <c r="Q451" s="4" t="s">
        <v>34</v>
      </c>
      <c r="R451" s="2" t="s">
        <v>1030</v>
      </c>
      <c r="S451" s="4" t="s">
        <v>51</v>
      </c>
      <c r="T451" s="2">
        <v>0.54</v>
      </c>
      <c r="U451" s="3">
        <v>40578</v>
      </c>
    </row>
    <row r="452" spans="1:21">
      <c r="A452" s="2">
        <v>1725</v>
      </c>
      <c r="B452" s="2">
        <v>12417</v>
      </c>
      <c r="C452" s="6">
        <v>40475</v>
      </c>
      <c r="D452" s="4" t="s">
        <v>52</v>
      </c>
      <c r="E452" s="2">
        <v>19</v>
      </c>
      <c r="F452" s="5">
        <v>137.84</v>
      </c>
      <c r="G452" s="5">
        <v>0.06</v>
      </c>
      <c r="H452" s="4" t="s">
        <v>15</v>
      </c>
      <c r="I452" s="5">
        <v>34.31</v>
      </c>
      <c r="J452" s="2">
        <v>7.4</v>
      </c>
      <c r="K452" s="5">
        <v>1.71</v>
      </c>
      <c r="L452" s="4" t="s">
        <v>1031</v>
      </c>
      <c r="M452" s="4" t="s">
        <v>25</v>
      </c>
      <c r="N452" s="4" t="s">
        <v>26</v>
      </c>
      <c r="O452" s="4" t="s">
        <v>27</v>
      </c>
      <c r="P452" s="4" t="s">
        <v>19</v>
      </c>
      <c r="Q452" s="4" t="s">
        <v>78</v>
      </c>
      <c r="R452" s="2" t="s">
        <v>999</v>
      </c>
      <c r="S452" s="4" t="s">
        <v>50</v>
      </c>
      <c r="T452" s="2">
        <v>0.4</v>
      </c>
      <c r="U452" s="3">
        <v>40477</v>
      </c>
    </row>
    <row r="453" spans="1:21">
      <c r="A453" s="2">
        <v>1752</v>
      </c>
      <c r="B453" s="2">
        <v>12551</v>
      </c>
      <c r="C453" s="6">
        <v>41071</v>
      </c>
      <c r="D453" s="4" t="s">
        <v>14</v>
      </c>
      <c r="E453" s="2">
        <v>46</v>
      </c>
      <c r="F453" s="5">
        <v>5023.2534999999998</v>
      </c>
      <c r="G453" s="5">
        <v>0.01</v>
      </c>
      <c r="H453" s="4" t="s">
        <v>15</v>
      </c>
      <c r="I453" s="5">
        <v>1665.23</v>
      </c>
      <c r="J453" s="2">
        <v>125.99</v>
      </c>
      <c r="K453" s="5">
        <v>5.26</v>
      </c>
      <c r="L453" s="4" t="s">
        <v>1032</v>
      </c>
      <c r="M453" s="4" t="s">
        <v>57</v>
      </c>
      <c r="N453" s="4" t="s">
        <v>57</v>
      </c>
      <c r="O453" s="4" t="s">
        <v>18</v>
      </c>
      <c r="P453" s="4" t="s">
        <v>40</v>
      </c>
      <c r="Q453" s="4" t="s">
        <v>41</v>
      </c>
      <c r="R453" s="2">
        <v>232</v>
      </c>
      <c r="S453" s="4" t="s">
        <v>51</v>
      </c>
      <c r="T453" s="2">
        <v>0.55000000000000004</v>
      </c>
      <c r="U453" s="3">
        <v>41078</v>
      </c>
    </row>
    <row r="454" spans="1:21">
      <c r="A454" s="2">
        <v>1783</v>
      </c>
      <c r="B454" s="2">
        <v>12773</v>
      </c>
      <c r="C454" s="6">
        <v>40554</v>
      </c>
      <c r="D454" s="4" t="s">
        <v>14</v>
      </c>
      <c r="E454" s="2">
        <v>6</v>
      </c>
      <c r="F454" s="5">
        <v>17</v>
      </c>
      <c r="G454" s="5">
        <v>7.0000000000000007E-2</v>
      </c>
      <c r="H454" s="4" t="s">
        <v>15</v>
      </c>
      <c r="I454" s="5">
        <v>-4.6100000000000003</v>
      </c>
      <c r="J454" s="2">
        <v>2.78</v>
      </c>
      <c r="K454" s="5">
        <v>1.49</v>
      </c>
      <c r="L454" s="4" t="s">
        <v>1033</v>
      </c>
      <c r="M454" s="4" t="s">
        <v>199</v>
      </c>
      <c r="N454" s="4" t="s">
        <v>86</v>
      </c>
      <c r="O454" s="4" t="s">
        <v>27</v>
      </c>
      <c r="P454" s="4" t="s">
        <v>19</v>
      </c>
      <c r="Q454" s="4" t="s">
        <v>111</v>
      </c>
      <c r="R454" s="2" t="s">
        <v>1034</v>
      </c>
      <c r="S454" s="4" t="s">
        <v>51</v>
      </c>
      <c r="T454" s="2">
        <v>0.39</v>
      </c>
      <c r="U454" s="3">
        <v>40556</v>
      </c>
    </row>
    <row r="455" spans="1:21">
      <c r="A455" s="2">
        <v>1788</v>
      </c>
      <c r="B455" s="2">
        <v>12804</v>
      </c>
      <c r="C455" s="6">
        <v>41054</v>
      </c>
      <c r="D455" s="4" t="s">
        <v>72</v>
      </c>
      <c r="E455" s="2">
        <v>21</v>
      </c>
      <c r="F455" s="5">
        <v>69.06</v>
      </c>
      <c r="G455" s="5">
        <v>0</v>
      </c>
      <c r="H455" s="4" t="s">
        <v>15</v>
      </c>
      <c r="I455" s="5">
        <v>28.47</v>
      </c>
      <c r="J455" s="2">
        <v>3.08</v>
      </c>
      <c r="K455" s="5">
        <v>0.5</v>
      </c>
      <c r="L455" s="4" t="s">
        <v>1035</v>
      </c>
      <c r="M455" s="4" t="s">
        <v>43</v>
      </c>
      <c r="N455" s="4" t="s">
        <v>44</v>
      </c>
      <c r="O455" s="4" t="s">
        <v>54</v>
      </c>
      <c r="P455" s="4" t="s">
        <v>19</v>
      </c>
      <c r="Q455" s="4" t="s">
        <v>75</v>
      </c>
      <c r="R455" s="2" t="s">
        <v>684</v>
      </c>
      <c r="S455" s="4" t="s">
        <v>51</v>
      </c>
      <c r="T455" s="2">
        <v>0.37</v>
      </c>
      <c r="U455" s="3">
        <v>41057</v>
      </c>
    </row>
    <row r="456" spans="1:21">
      <c r="A456" s="2">
        <v>1803</v>
      </c>
      <c r="B456" s="2">
        <v>12902</v>
      </c>
      <c r="C456" s="6">
        <v>40480</v>
      </c>
      <c r="D456" s="4" t="s">
        <v>23</v>
      </c>
      <c r="E456" s="2">
        <v>9</v>
      </c>
      <c r="F456" s="5">
        <v>302.05</v>
      </c>
      <c r="G456" s="5">
        <v>0</v>
      </c>
      <c r="H456" s="4" t="s">
        <v>15</v>
      </c>
      <c r="I456" s="5">
        <v>-58.81</v>
      </c>
      <c r="J456" s="2">
        <v>30.98</v>
      </c>
      <c r="K456" s="5">
        <v>6.5</v>
      </c>
      <c r="L456" s="4" t="s">
        <v>1036</v>
      </c>
      <c r="M456" s="4" t="s">
        <v>47</v>
      </c>
      <c r="N456" s="4" t="s">
        <v>26</v>
      </c>
      <c r="O456" s="4" t="s">
        <v>54</v>
      </c>
      <c r="P456" s="4" t="s">
        <v>40</v>
      </c>
      <c r="Q456" s="4" t="s">
        <v>45</v>
      </c>
      <c r="R456" s="2" t="s">
        <v>523</v>
      </c>
      <c r="S456" s="4" t="s">
        <v>51</v>
      </c>
      <c r="T456" s="2">
        <v>0.64</v>
      </c>
      <c r="U456" s="3">
        <v>40482</v>
      </c>
    </row>
    <row r="457" spans="1:21">
      <c r="A457" s="2">
        <v>1823</v>
      </c>
      <c r="B457" s="2">
        <v>13091</v>
      </c>
      <c r="C457" s="6">
        <v>40132</v>
      </c>
      <c r="D457" s="4" t="s">
        <v>72</v>
      </c>
      <c r="E457" s="2">
        <v>12</v>
      </c>
      <c r="F457" s="5">
        <v>81.430000000000007</v>
      </c>
      <c r="G457" s="5">
        <v>0.08</v>
      </c>
      <c r="H457" s="4" t="s">
        <v>15</v>
      </c>
      <c r="I457" s="5">
        <v>-44.66</v>
      </c>
      <c r="J457" s="2">
        <v>6.48</v>
      </c>
      <c r="K457" s="5">
        <v>7.03</v>
      </c>
      <c r="L457" s="4" t="s">
        <v>1037</v>
      </c>
      <c r="M457" s="4" t="s">
        <v>57</v>
      </c>
      <c r="N457" s="4" t="s">
        <v>57</v>
      </c>
      <c r="O457" s="4" t="s">
        <v>27</v>
      </c>
      <c r="P457" s="4" t="s">
        <v>19</v>
      </c>
      <c r="Q457" s="4" t="s">
        <v>78</v>
      </c>
      <c r="R457" s="2" t="s">
        <v>903</v>
      </c>
      <c r="S457" s="4" t="s">
        <v>51</v>
      </c>
      <c r="T457" s="2">
        <v>0.37</v>
      </c>
      <c r="U457" s="3">
        <v>40133</v>
      </c>
    </row>
    <row r="458" spans="1:21">
      <c r="A458" s="2">
        <v>1835</v>
      </c>
      <c r="B458" s="2">
        <v>13156</v>
      </c>
      <c r="C458" s="6">
        <v>40821</v>
      </c>
      <c r="D458" s="4" t="s">
        <v>14</v>
      </c>
      <c r="E458" s="2">
        <v>12</v>
      </c>
      <c r="F458" s="5">
        <v>502.01</v>
      </c>
      <c r="G458" s="5">
        <v>0.04</v>
      </c>
      <c r="H458" s="4" t="s">
        <v>15</v>
      </c>
      <c r="I458" s="5">
        <v>159.72999999999999</v>
      </c>
      <c r="J458" s="2">
        <v>39.979999999999997</v>
      </c>
      <c r="K458" s="5">
        <v>9.1999999999999993</v>
      </c>
      <c r="L458" s="4" t="s">
        <v>1038</v>
      </c>
      <c r="M458" s="4" t="s">
        <v>66</v>
      </c>
      <c r="N458" s="4" t="s">
        <v>66</v>
      </c>
      <c r="O458" s="4" t="s">
        <v>27</v>
      </c>
      <c r="P458" s="4" t="s">
        <v>33</v>
      </c>
      <c r="Q458" s="4" t="s">
        <v>34</v>
      </c>
      <c r="R458" s="2" t="s">
        <v>1039</v>
      </c>
      <c r="S458" s="4" t="s">
        <v>50</v>
      </c>
      <c r="T458" s="2">
        <v>0.65</v>
      </c>
      <c r="U458" s="3">
        <v>40826</v>
      </c>
    </row>
    <row r="459" spans="1:21">
      <c r="A459" s="2">
        <v>1866</v>
      </c>
      <c r="B459" s="2">
        <v>13413</v>
      </c>
      <c r="C459" s="6">
        <v>40207</v>
      </c>
      <c r="D459" s="4" t="s">
        <v>52</v>
      </c>
      <c r="E459" s="2">
        <v>29</v>
      </c>
      <c r="F459" s="5">
        <v>150.28</v>
      </c>
      <c r="G459" s="5">
        <v>0.04</v>
      </c>
      <c r="H459" s="4" t="s">
        <v>15</v>
      </c>
      <c r="I459" s="5">
        <v>-50.86</v>
      </c>
      <c r="J459" s="2">
        <v>4.9800000000000004</v>
      </c>
      <c r="K459" s="5">
        <v>4.7</v>
      </c>
      <c r="L459" s="4" t="s">
        <v>1042</v>
      </c>
      <c r="M459" s="4" t="s">
        <v>57</v>
      </c>
      <c r="N459" s="4" t="s">
        <v>57</v>
      </c>
      <c r="O459" s="4" t="s">
        <v>60</v>
      </c>
      <c r="P459" s="4" t="s">
        <v>19</v>
      </c>
      <c r="Q459" s="4" t="s">
        <v>78</v>
      </c>
      <c r="R459" s="2" t="s">
        <v>1001</v>
      </c>
      <c r="S459" s="4" t="s">
        <v>51</v>
      </c>
      <c r="T459" s="2">
        <v>0.38</v>
      </c>
      <c r="U459" s="3">
        <v>40209</v>
      </c>
    </row>
    <row r="460" spans="1:21">
      <c r="A460" s="2">
        <v>1867</v>
      </c>
      <c r="B460" s="2">
        <v>13440</v>
      </c>
      <c r="C460" s="6">
        <v>40464</v>
      </c>
      <c r="D460" s="4" t="s">
        <v>23</v>
      </c>
      <c r="E460" s="2">
        <v>22</v>
      </c>
      <c r="F460" s="5">
        <v>971.82</v>
      </c>
      <c r="G460" s="5">
        <v>7.0000000000000007E-2</v>
      </c>
      <c r="H460" s="4" t="s">
        <v>15</v>
      </c>
      <c r="I460" s="5">
        <v>326.39</v>
      </c>
      <c r="J460" s="2">
        <v>43.98</v>
      </c>
      <c r="K460" s="5">
        <v>1.99</v>
      </c>
      <c r="L460" s="4" t="s">
        <v>1043</v>
      </c>
      <c r="M460" s="4" t="s">
        <v>57</v>
      </c>
      <c r="N460" s="4" t="s">
        <v>57</v>
      </c>
      <c r="O460" s="4" t="s">
        <v>60</v>
      </c>
      <c r="P460" s="4" t="s">
        <v>40</v>
      </c>
      <c r="Q460" s="4" t="s">
        <v>45</v>
      </c>
      <c r="R460" s="2" t="s">
        <v>1044</v>
      </c>
      <c r="S460" s="4" t="s">
        <v>30</v>
      </c>
      <c r="T460" s="2">
        <v>0.44</v>
      </c>
      <c r="U460" s="3">
        <v>40466</v>
      </c>
    </row>
    <row r="461" spans="1:21">
      <c r="A461" s="2">
        <v>1869</v>
      </c>
      <c r="B461" s="2">
        <v>13447</v>
      </c>
      <c r="C461" s="6">
        <v>40186</v>
      </c>
      <c r="D461" s="4" t="s">
        <v>31</v>
      </c>
      <c r="E461" s="2">
        <v>24</v>
      </c>
      <c r="F461" s="5">
        <v>436.48349999999999</v>
      </c>
      <c r="G461" s="5">
        <v>0.01</v>
      </c>
      <c r="H461" s="4" t="s">
        <v>15</v>
      </c>
      <c r="I461" s="5">
        <v>0.85</v>
      </c>
      <c r="J461" s="2">
        <v>20.99</v>
      </c>
      <c r="K461" s="5">
        <v>4.8099999999999996</v>
      </c>
      <c r="L461" s="4" t="s">
        <v>1045</v>
      </c>
      <c r="M461" s="4" t="s">
        <v>57</v>
      </c>
      <c r="N461" s="4" t="s">
        <v>57</v>
      </c>
      <c r="O461" s="4" t="s">
        <v>27</v>
      </c>
      <c r="P461" s="4" t="s">
        <v>40</v>
      </c>
      <c r="Q461" s="4" t="s">
        <v>41</v>
      </c>
      <c r="R461" s="2" t="s">
        <v>485</v>
      </c>
      <c r="S461" s="4" t="s">
        <v>36</v>
      </c>
      <c r="T461" s="2">
        <v>0.57999999999999996</v>
      </c>
      <c r="U461" s="3">
        <v>40188</v>
      </c>
    </row>
    <row r="462" spans="1:21">
      <c r="A462" s="2">
        <v>1884</v>
      </c>
      <c r="B462" s="2">
        <v>13542</v>
      </c>
      <c r="C462" s="6">
        <v>39880</v>
      </c>
      <c r="D462" s="4" t="s">
        <v>14</v>
      </c>
      <c r="E462" s="2">
        <v>11</v>
      </c>
      <c r="F462" s="5">
        <v>3571.84</v>
      </c>
      <c r="G462" s="5">
        <v>0.01</v>
      </c>
      <c r="H462" s="4" t="s">
        <v>37</v>
      </c>
      <c r="I462" s="5">
        <v>403.81</v>
      </c>
      <c r="J462" s="2">
        <v>300.98</v>
      </c>
      <c r="K462" s="5">
        <v>64.73</v>
      </c>
      <c r="L462" s="4" t="s">
        <v>1046</v>
      </c>
      <c r="M462" s="4" t="s">
        <v>43</v>
      </c>
      <c r="N462" s="4" t="s">
        <v>44</v>
      </c>
      <c r="O462" s="4" t="s">
        <v>60</v>
      </c>
      <c r="P462" s="4" t="s">
        <v>33</v>
      </c>
      <c r="Q462" s="4" t="s">
        <v>172</v>
      </c>
      <c r="R462" s="2" t="s">
        <v>720</v>
      </c>
      <c r="S462" s="4" t="s">
        <v>121</v>
      </c>
      <c r="T462" s="2">
        <v>0.56000000000000005</v>
      </c>
      <c r="U462" s="3">
        <v>39887</v>
      </c>
    </row>
    <row r="463" spans="1:21">
      <c r="A463" s="2">
        <v>1918</v>
      </c>
      <c r="B463" s="2">
        <v>13761</v>
      </c>
      <c r="C463" s="6">
        <v>40103</v>
      </c>
      <c r="D463" s="4" t="s">
        <v>14</v>
      </c>
      <c r="E463" s="2">
        <v>32</v>
      </c>
      <c r="F463" s="5">
        <v>2421.44</v>
      </c>
      <c r="G463" s="5">
        <v>0.09</v>
      </c>
      <c r="H463" s="4" t="s">
        <v>15</v>
      </c>
      <c r="I463" s="5">
        <v>-949.09</v>
      </c>
      <c r="J463" s="2">
        <v>78.8</v>
      </c>
      <c r="K463" s="5">
        <v>35</v>
      </c>
      <c r="L463" s="4" t="s">
        <v>1047</v>
      </c>
      <c r="M463" s="4" t="s">
        <v>57</v>
      </c>
      <c r="N463" s="4" t="s">
        <v>57</v>
      </c>
      <c r="O463" s="4" t="s">
        <v>54</v>
      </c>
      <c r="P463" s="4" t="s">
        <v>19</v>
      </c>
      <c r="Q463" s="4" t="s">
        <v>20</v>
      </c>
      <c r="R463" s="2" t="s">
        <v>1048</v>
      </c>
      <c r="S463" s="4" t="s">
        <v>22</v>
      </c>
      <c r="T463" s="2">
        <v>0.83</v>
      </c>
      <c r="U463" s="3">
        <v>40107</v>
      </c>
    </row>
    <row r="464" spans="1:21">
      <c r="A464" s="2">
        <v>1935</v>
      </c>
      <c r="B464" s="2">
        <v>13861</v>
      </c>
      <c r="C464" s="6">
        <v>40401</v>
      </c>
      <c r="D464" s="4" t="s">
        <v>31</v>
      </c>
      <c r="E464" s="2">
        <v>7</v>
      </c>
      <c r="F464" s="5">
        <v>37.299999999999997</v>
      </c>
      <c r="G464" s="5">
        <v>0</v>
      </c>
      <c r="H464" s="4" t="s">
        <v>15</v>
      </c>
      <c r="I464" s="5">
        <v>5.03</v>
      </c>
      <c r="J464" s="2">
        <v>4.84</v>
      </c>
      <c r="K464" s="5">
        <v>0.71</v>
      </c>
      <c r="L464" s="4" t="s">
        <v>1050</v>
      </c>
      <c r="M464" s="4" t="s">
        <v>57</v>
      </c>
      <c r="N464" s="4" t="s">
        <v>57</v>
      </c>
      <c r="O464" s="4" t="s">
        <v>27</v>
      </c>
      <c r="P464" s="4" t="s">
        <v>19</v>
      </c>
      <c r="Q464" s="4" t="s">
        <v>48</v>
      </c>
      <c r="R464" s="2" t="s">
        <v>647</v>
      </c>
      <c r="S464" s="4" t="s">
        <v>50</v>
      </c>
      <c r="T464" s="2">
        <v>0.52</v>
      </c>
      <c r="U464" s="3">
        <v>40401</v>
      </c>
    </row>
    <row r="465" spans="1:21">
      <c r="A465" s="2">
        <v>1936</v>
      </c>
      <c r="B465" s="2">
        <v>13889</v>
      </c>
      <c r="C465" s="6">
        <v>40790</v>
      </c>
      <c r="D465" s="4" t="s">
        <v>72</v>
      </c>
      <c r="E465" s="2">
        <v>49</v>
      </c>
      <c r="F465" s="5">
        <v>12979.1</v>
      </c>
      <c r="G465" s="5">
        <v>0.03</v>
      </c>
      <c r="H465" s="4" t="s">
        <v>37</v>
      </c>
      <c r="I465" s="5">
        <v>2820.44</v>
      </c>
      <c r="J465" s="2">
        <v>258.98</v>
      </c>
      <c r="K465" s="5">
        <v>54.31</v>
      </c>
      <c r="L465" s="4" t="s">
        <v>1051</v>
      </c>
      <c r="M465" s="4" t="s">
        <v>47</v>
      </c>
      <c r="N465" s="4" t="s">
        <v>26</v>
      </c>
      <c r="O465" s="4" t="s">
        <v>18</v>
      </c>
      <c r="P465" s="4" t="s">
        <v>33</v>
      </c>
      <c r="Q465" s="4" t="s">
        <v>172</v>
      </c>
      <c r="R465" s="2" t="s">
        <v>1052</v>
      </c>
      <c r="S465" s="4" t="s">
        <v>121</v>
      </c>
      <c r="T465" s="2">
        <v>0.55000000000000004</v>
      </c>
      <c r="U465" s="3">
        <v>40791</v>
      </c>
    </row>
    <row r="466" spans="1:21">
      <c r="A466" s="2">
        <v>1937</v>
      </c>
      <c r="B466" s="2">
        <v>13892</v>
      </c>
      <c r="C466" s="6">
        <v>41026</v>
      </c>
      <c r="D466" s="4" t="s">
        <v>31</v>
      </c>
      <c r="E466" s="2">
        <v>47</v>
      </c>
      <c r="F466" s="5">
        <v>1446.97</v>
      </c>
      <c r="G466" s="5">
        <v>0</v>
      </c>
      <c r="H466" s="4" t="s">
        <v>15</v>
      </c>
      <c r="I466" s="5">
        <v>531.47</v>
      </c>
      <c r="J466" s="2">
        <v>29.89</v>
      </c>
      <c r="K466" s="5">
        <v>1.99</v>
      </c>
      <c r="L466" s="4" t="s">
        <v>1053</v>
      </c>
      <c r="M466" s="4" t="s">
        <v>57</v>
      </c>
      <c r="N466" s="4" t="s">
        <v>57</v>
      </c>
      <c r="O466" s="4" t="s">
        <v>54</v>
      </c>
      <c r="P466" s="4" t="s">
        <v>40</v>
      </c>
      <c r="Q466" s="4" t="s">
        <v>45</v>
      </c>
      <c r="R466" s="2" t="s">
        <v>603</v>
      </c>
      <c r="S466" s="4" t="s">
        <v>30</v>
      </c>
      <c r="T466" s="2">
        <v>0.5</v>
      </c>
      <c r="U466" s="3">
        <v>41027</v>
      </c>
    </row>
    <row r="467" spans="1:21">
      <c r="A467" s="2">
        <v>1941</v>
      </c>
      <c r="B467" s="2">
        <v>13920</v>
      </c>
      <c r="C467" s="6">
        <v>40095</v>
      </c>
      <c r="D467" s="4" t="s">
        <v>52</v>
      </c>
      <c r="E467" s="2">
        <v>25</v>
      </c>
      <c r="F467" s="5">
        <v>901.32</v>
      </c>
      <c r="G467" s="5">
        <v>0.1</v>
      </c>
      <c r="H467" s="4" t="s">
        <v>64</v>
      </c>
      <c r="I467" s="5">
        <v>338.01</v>
      </c>
      <c r="J467" s="2">
        <v>37.94</v>
      </c>
      <c r="K467" s="5">
        <v>5.08</v>
      </c>
      <c r="L467" s="4" t="s">
        <v>1054</v>
      </c>
      <c r="M467" s="4" t="s">
        <v>258</v>
      </c>
      <c r="N467" s="4" t="s">
        <v>86</v>
      </c>
      <c r="O467" s="4" t="s">
        <v>54</v>
      </c>
      <c r="P467" s="4" t="s">
        <v>19</v>
      </c>
      <c r="Q467" s="4" t="s">
        <v>78</v>
      </c>
      <c r="R467" s="2" t="s">
        <v>648</v>
      </c>
      <c r="S467" s="4" t="s">
        <v>50</v>
      </c>
      <c r="T467" s="2">
        <v>0.38</v>
      </c>
      <c r="U467" s="3">
        <v>40097</v>
      </c>
    </row>
    <row r="468" spans="1:21">
      <c r="A468" s="2">
        <v>1947</v>
      </c>
      <c r="B468" s="2">
        <v>13927</v>
      </c>
      <c r="C468" s="6">
        <v>40051</v>
      </c>
      <c r="D468" s="4" t="s">
        <v>14</v>
      </c>
      <c r="E468" s="2">
        <v>26</v>
      </c>
      <c r="F468" s="5">
        <v>188.05</v>
      </c>
      <c r="G468" s="5">
        <v>0.04</v>
      </c>
      <c r="H468" s="4" t="s">
        <v>64</v>
      </c>
      <c r="I468" s="5">
        <v>-21.41</v>
      </c>
      <c r="J468" s="2">
        <v>6.48</v>
      </c>
      <c r="K468" s="5">
        <v>5.16</v>
      </c>
      <c r="L468" s="4" t="s">
        <v>1057</v>
      </c>
      <c r="M468" s="4" t="s">
        <v>199</v>
      </c>
      <c r="N468" s="4" t="s">
        <v>86</v>
      </c>
      <c r="O468" s="4" t="s">
        <v>27</v>
      </c>
      <c r="P468" s="4" t="s">
        <v>19</v>
      </c>
      <c r="Q468" s="4" t="s">
        <v>78</v>
      </c>
      <c r="R468" s="2" t="s">
        <v>1058</v>
      </c>
      <c r="S468" s="4" t="s">
        <v>51</v>
      </c>
      <c r="T468" s="2">
        <v>0.37</v>
      </c>
      <c r="U468" s="3">
        <v>40058</v>
      </c>
    </row>
    <row r="469" spans="1:21">
      <c r="A469" s="2">
        <v>1949</v>
      </c>
      <c r="B469" s="2">
        <v>13958</v>
      </c>
      <c r="C469" s="6">
        <v>40201</v>
      </c>
      <c r="D469" s="4" t="s">
        <v>14</v>
      </c>
      <c r="E469" s="2">
        <v>11</v>
      </c>
      <c r="F469" s="5">
        <v>808.673</v>
      </c>
      <c r="G469" s="5">
        <v>0.06</v>
      </c>
      <c r="H469" s="4" t="s">
        <v>15</v>
      </c>
      <c r="I469" s="5">
        <v>-10.67</v>
      </c>
      <c r="J469" s="2">
        <v>85.99</v>
      </c>
      <c r="K469" s="5">
        <v>0.99</v>
      </c>
      <c r="L469" s="4" t="s">
        <v>1059</v>
      </c>
      <c r="M469" s="4" t="s">
        <v>74</v>
      </c>
      <c r="N469" s="4" t="s">
        <v>74</v>
      </c>
      <c r="O469" s="4" t="s">
        <v>60</v>
      </c>
      <c r="P469" s="4" t="s">
        <v>40</v>
      </c>
      <c r="Q469" s="4" t="s">
        <v>41</v>
      </c>
      <c r="R469" s="2" t="s">
        <v>1013</v>
      </c>
      <c r="S469" s="4" t="s">
        <v>50</v>
      </c>
      <c r="T469" s="2">
        <v>0.55000000000000004</v>
      </c>
      <c r="U469" s="3">
        <v>40210</v>
      </c>
    </row>
    <row r="470" spans="1:21">
      <c r="A470" s="2">
        <v>1954</v>
      </c>
      <c r="B470" s="2">
        <v>13988</v>
      </c>
      <c r="C470" s="6">
        <v>41122</v>
      </c>
      <c r="D470" s="4" t="s">
        <v>23</v>
      </c>
      <c r="E470" s="2">
        <v>34</v>
      </c>
      <c r="F470" s="5">
        <v>180.27</v>
      </c>
      <c r="G470" s="5">
        <v>0.01</v>
      </c>
      <c r="H470" s="4" t="s">
        <v>15</v>
      </c>
      <c r="I470" s="5">
        <v>-59.71</v>
      </c>
      <c r="J470" s="2">
        <v>4.95</v>
      </c>
      <c r="K470" s="5">
        <v>5.32</v>
      </c>
      <c r="L470" s="4" t="s">
        <v>1060</v>
      </c>
      <c r="M470" s="4" t="s">
        <v>43</v>
      </c>
      <c r="N470" s="4" t="s">
        <v>44</v>
      </c>
      <c r="O470" s="4" t="s">
        <v>54</v>
      </c>
      <c r="P470" s="4" t="s">
        <v>33</v>
      </c>
      <c r="Q470" s="4" t="s">
        <v>34</v>
      </c>
      <c r="R470" s="2" t="s">
        <v>1061</v>
      </c>
      <c r="S470" s="4" t="s">
        <v>51</v>
      </c>
      <c r="T470" s="2">
        <v>0.41</v>
      </c>
      <c r="U470" s="3">
        <v>41123</v>
      </c>
    </row>
    <row r="471" spans="1:21">
      <c r="A471" s="2">
        <v>1984</v>
      </c>
      <c r="B471" s="2">
        <v>14147</v>
      </c>
      <c r="C471" s="6">
        <v>40244</v>
      </c>
      <c r="D471" s="4" t="s">
        <v>23</v>
      </c>
      <c r="E471" s="2">
        <v>8</v>
      </c>
      <c r="F471" s="5">
        <v>351.49</v>
      </c>
      <c r="G471" s="5">
        <v>0.03</v>
      </c>
      <c r="H471" s="4" t="s">
        <v>15</v>
      </c>
      <c r="I471" s="5">
        <v>107.32</v>
      </c>
      <c r="J471" s="2">
        <v>41.94</v>
      </c>
      <c r="K471" s="5">
        <v>2.99</v>
      </c>
      <c r="L471" s="4" t="s">
        <v>1062</v>
      </c>
      <c r="M471" s="4" t="s">
        <v>57</v>
      </c>
      <c r="N471" s="4" t="s">
        <v>57</v>
      </c>
      <c r="O471" s="4" t="s">
        <v>54</v>
      </c>
      <c r="P471" s="4" t="s">
        <v>19</v>
      </c>
      <c r="Q471" s="4" t="s">
        <v>111</v>
      </c>
      <c r="R471" s="2" t="s">
        <v>957</v>
      </c>
      <c r="S471" s="4" t="s">
        <v>51</v>
      </c>
      <c r="T471" s="2">
        <v>0.35</v>
      </c>
      <c r="U471" s="3">
        <v>40247</v>
      </c>
    </row>
    <row r="472" spans="1:21">
      <c r="A472" s="2">
        <v>1988</v>
      </c>
      <c r="B472" s="2">
        <v>14182</v>
      </c>
      <c r="C472" s="6">
        <v>39986</v>
      </c>
      <c r="D472" s="4" t="s">
        <v>14</v>
      </c>
      <c r="E472" s="2">
        <v>23</v>
      </c>
      <c r="F472" s="5">
        <v>2433.5500000000002</v>
      </c>
      <c r="G472" s="5">
        <v>0.05</v>
      </c>
      <c r="H472" s="4" t="s">
        <v>15</v>
      </c>
      <c r="I472" s="5">
        <v>355.93</v>
      </c>
      <c r="J472" s="2">
        <v>125.99</v>
      </c>
      <c r="K472" s="5">
        <v>8.08</v>
      </c>
      <c r="L472" s="4" t="s">
        <v>1063</v>
      </c>
      <c r="M472" s="4" t="s">
        <v>85</v>
      </c>
      <c r="N472" s="4" t="s">
        <v>86</v>
      </c>
      <c r="O472" s="4" t="s">
        <v>18</v>
      </c>
      <c r="P472" s="4" t="s">
        <v>40</v>
      </c>
      <c r="Q472" s="4" t="s">
        <v>41</v>
      </c>
      <c r="R472" s="2" t="s">
        <v>115</v>
      </c>
      <c r="S472" s="4" t="s">
        <v>51</v>
      </c>
      <c r="T472" s="2">
        <v>0.56999999999999995</v>
      </c>
      <c r="U472" s="3">
        <v>39991</v>
      </c>
    </row>
    <row r="473" spans="1:21">
      <c r="A473" s="2">
        <v>1998</v>
      </c>
      <c r="B473" s="2">
        <v>14245</v>
      </c>
      <c r="C473" s="6">
        <v>40220</v>
      </c>
      <c r="D473" s="4" t="s">
        <v>52</v>
      </c>
      <c r="E473" s="2">
        <v>17</v>
      </c>
      <c r="F473" s="5">
        <v>454.09</v>
      </c>
      <c r="G473" s="5">
        <v>0.1</v>
      </c>
      <c r="H473" s="4" t="s">
        <v>15</v>
      </c>
      <c r="I473" s="5">
        <v>29.7</v>
      </c>
      <c r="J473" s="2">
        <v>28.15</v>
      </c>
      <c r="K473" s="5">
        <v>6.17</v>
      </c>
      <c r="L473" s="4" t="s">
        <v>1064</v>
      </c>
      <c r="M473" s="4" t="s">
        <v>43</v>
      </c>
      <c r="N473" s="4" t="s">
        <v>44</v>
      </c>
      <c r="O473" s="4" t="s">
        <v>18</v>
      </c>
      <c r="P473" s="4" t="s">
        <v>19</v>
      </c>
      <c r="Q473" s="4" t="s">
        <v>48</v>
      </c>
      <c r="R473" s="2" t="s">
        <v>451</v>
      </c>
      <c r="S473" s="4" t="s">
        <v>30</v>
      </c>
      <c r="T473" s="2">
        <v>0.55000000000000004</v>
      </c>
      <c r="U473" s="3">
        <v>40221</v>
      </c>
    </row>
    <row r="474" spans="1:21">
      <c r="A474" s="2">
        <v>2009</v>
      </c>
      <c r="B474" s="2">
        <v>14338</v>
      </c>
      <c r="C474" s="6">
        <v>40209</v>
      </c>
      <c r="D474" s="4" t="s">
        <v>14</v>
      </c>
      <c r="E474" s="2">
        <v>34</v>
      </c>
      <c r="F474" s="5">
        <v>6580.16</v>
      </c>
      <c r="G474" s="5">
        <v>0.1</v>
      </c>
      <c r="H474" s="4" t="s">
        <v>37</v>
      </c>
      <c r="I474" s="5">
        <v>2786.35</v>
      </c>
      <c r="J474" s="2">
        <v>200.97</v>
      </c>
      <c r="K474" s="5">
        <v>15.59</v>
      </c>
      <c r="L474" s="4" t="s">
        <v>1065</v>
      </c>
      <c r="M474" s="4" t="s">
        <v>85</v>
      </c>
      <c r="N474" s="4" t="s">
        <v>86</v>
      </c>
      <c r="O474" s="4" t="s">
        <v>18</v>
      </c>
      <c r="P474" s="4" t="s">
        <v>40</v>
      </c>
      <c r="Q474" s="4" t="s">
        <v>81</v>
      </c>
      <c r="R474" s="2" t="s">
        <v>1056</v>
      </c>
      <c r="S474" s="4" t="s">
        <v>121</v>
      </c>
      <c r="T474" s="2">
        <v>0.36</v>
      </c>
      <c r="U474" s="3">
        <v>40216</v>
      </c>
    </row>
    <row r="475" spans="1:21">
      <c r="A475" s="2">
        <v>2014</v>
      </c>
      <c r="B475" s="2">
        <v>14375</v>
      </c>
      <c r="C475" s="6">
        <v>40209</v>
      </c>
      <c r="D475" s="4" t="s">
        <v>72</v>
      </c>
      <c r="E475" s="2">
        <v>7</v>
      </c>
      <c r="F475" s="5">
        <v>44.05</v>
      </c>
      <c r="G475" s="5">
        <v>7.0000000000000007E-2</v>
      </c>
      <c r="H475" s="4" t="s">
        <v>15</v>
      </c>
      <c r="I475" s="5">
        <v>-21.77</v>
      </c>
      <c r="J475" s="2">
        <v>5.78</v>
      </c>
      <c r="K475" s="5">
        <v>5.67</v>
      </c>
      <c r="L475" s="4" t="s">
        <v>1066</v>
      </c>
      <c r="M475" s="4" t="s">
        <v>47</v>
      </c>
      <c r="N475" s="4" t="s">
        <v>26</v>
      </c>
      <c r="O475" s="4" t="s">
        <v>27</v>
      </c>
      <c r="P475" s="4" t="s">
        <v>19</v>
      </c>
      <c r="Q475" s="4" t="s">
        <v>78</v>
      </c>
      <c r="R475" s="2" t="s">
        <v>417</v>
      </c>
      <c r="S475" s="4" t="s">
        <v>51</v>
      </c>
      <c r="T475" s="2">
        <v>0.36</v>
      </c>
      <c r="U475" s="3">
        <v>40210</v>
      </c>
    </row>
    <row r="476" spans="1:21">
      <c r="A476" s="2">
        <v>2024</v>
      </c>
      <c r="B476" s="2">
        <v>14434</v>
      </c>
      <c r="C476" s="6">
        <v>40589</v>
      </c>
      <c r="D476" s="4" t="s">
        <v>23</v>
      </c>
      <c r="E476" s="2">
        <v>39</v>
      </c>
      <c r="F476" s="5">
        <v>4733.88</v>
      </c>
      <c r="G476" s="5">
        <v>0.02</v>
      </c>
      <c r="H476" s="4" t="s">
        <v>37</v>
      </c>
      <c r="I476" s="5">
        <v>239.41</v>
      </c>
      <c r="J476" s="2">
        <v>119.99</v>
      </c>
      <c r="K476" s="5">
        <v>56.14</v>
      </c>
      <c r="L476" s="4" t="s">
        <v>1067</v>
      </c>
      <c r="M476" s="4" t="s">
        <v>74</v>
      </c>
      <c r="N476" s="4" t="s">
        <v>74</v>
      </c>
      <c r="O476" s="4" t="s">
        <v>27</v>
      </c>
      <c r="P476" s="4" t="s">
        <v>40</v>
      </c>
      <c r="Q476" s="4" t="s">
        <v>81</v>
      </c>
      <c r="R476" s="2" t="s">
        <v>992</v>
      </c>
      <c r="S476" s="4" t="s">
        <v>39</v>
      </c>
      <c r="T476" s="2">
        <v>0.39</v>
      </c>
      <c r="U476" s="3">
        <v>40591</v>
      </c>
    </row>
    <row r="477" spans="1:21">
      <c r="A477" s="2">
        <v>2039</v>
      </c>
      <c r="B477" s="2">
        <v>14530</v>
      </c>
      <c r="C477" s="6">
        <v>39909</v>
      </c>
      <c r="D477" s="4" t="s">
        <v>31</v>
      </c>
      <c r="E477" s="2">
        <v>17</v>
      </c>
      <c r="F477" s="5">
        <v>1556.61</v>
      </c>
      <c r="G477" s="5">
        <v>0.06</v>
      </c>
      <c r="H477" s="4" t="s">
        <v>15</v>
      </c>
      <c r="I477" s="5">
        <v>-485.55</v>
      </c>
      <c r="J477" s="2">
        <v>89.83</v>
      </c>
      <c r="K477" s="5">
        <v>35</v>
      </c>
      <c r="L477" s="4" t="s">
        <v>1068</v>
      </c>
      <c r="M477" s="4" t="s">
        <v>43</v>
      </c>
      <c r="N477" s="4" t="s">
        <v>44</v>
      </c>
      <c r="O477" s="4" t="s">
        <v>54</v>
      </c>
      <c r="P477" s="4" t="s">
        <v>19</v>
      </c>
      <c r="Q477" s="4" t="s">
        <v>20</v>
      </c>
      <c r="R477" s="2" t="s">
        <v>1069</v>
      </c>
      <c r="S477" s="4" t="s">
        <v>22</v>
      </c>
      <c r="T477" s="2">
        <v>0.83</v>
      </c>
      <c r="U477" s="3">
        <v>39911</v>
      </c>
    </row>
    <row r="478" spans="1:21">
      <c r="A478" s="2">
        <v>2075</v>
      </c>
      <c r="B478" s="2">
        <v>14851</v>
      </c>
      <c r="C478" s="6">
        <v>41040</v>
      </c>
      <c r="D478" s="4" t="s">
        <v>23</v>
      </c>
      <c r="E478" s="2">
        <v>6</v>
      </c>
      <c r="F478" s="5">
        <v>3378.18</v>
      </c>
      <c r="G478" s="5">
        <v>0.08</v>
      </c>
      <c r="H478" s="4" t="s">
        <v>15</v>
      </c>
      <c r="I478" s="5">
        <v>-1352.68</v>
      </c>
      <c r="J478" s="2">
        <v>599.99</v>
      </c>
      <c r="K478" s="5">
        <v>24.49</v>
      </c>
      <c r="L478" s="4" t="s">
        <v>1070</v>
      </c>
      <c r="M478" s="4" t="s">
        <v>74</v>
      </c>
      <c r="N478" s="4" t="s">
        <v>74</v>
      </c>
      <c r="O478" s="4" t="s">
        <v>27</v>
      </c>
      <c r="P478" s="4" t="s">
        <v>40</v>
      </c>
      <c r="Q478" s="4" t="s">
        <v>339</v>
      </c>
      <c r="R478" s="2" t="s">
        <v>1071</v>
      </c>
      <c r="S478" s="4" t="s">
        <v>22</v>
      </c>
      <c r="T478" s="2">
        <v>0.44</v>
      </c>
      <c r="U478" s="3">
        <v>41041</v>
      </c>
    </row>
    <row r="479" spans="1:21">
      <c r="A479" s="2">
        <v>2082</v>
      </c>
      <c r="B479" s="2">
        <v>14883</v>
      </c>
      <c r="C479" s="6">
        <v>40669</v>
      </c>
      <c r="D479" s="4" t="s">
        <v>14</v>
      </c>
      <c r="E479" s="2">
        <v>38</v>
      </c>
      <c r="F479" s="5">
        <v>978.4</v>
      </c>
      <c r="G479" s="5">
        <v>7.0000000000000007E-2</v>
      </c>
      <c r="H479" s="4" t="s">
        <v>37</v>
      </c>
      <c r="I479" s="5">
        <v>-211.58</v>
      </c>
      <c r="J479" s="2">
        <v>25.98</v>
      </c>
      <c r="K479" s="5">
        <v>14.36</v>
      </c>
      <c r="L479" s="4" t="s">
        <v>1072</v>
      </c>
      <c r="M479" s="4" t="s">
        <v>25</v>
      </c>
      <c r="N479" s="4" t="s">
        <v>26</v>
      </c>
      <c r="O479" s="4" t="s">
        <v>27</v>
      </c>
      <c r="P479" s="4" t="s">
        <v>33</v>
      </c>
      <c r="Q479" s="4" t="s">
        <v>172</v>
      </c>
      <c r="R479" s="2" t="s">
        <v>942</v>
      </c>
      <c r="S479" s="4" t="s">
        <v>121</v>
      </c>
      <c r="T479" s="2">
        <v>0.6</v>
      </c>
      <c r="U479" s="3">
        <v>40674</v>
      </c>
    </row>
    <row r="480" spans="1:21">
      <c r="A480" s="2">
        <v>2099</v>
      </c>
      <c r="B480" s="2">
        <v>15009</v>
      </c>
      <c r="C480" s="6">
        <v>40898</v>
      </c>
      <c r="D480" s="4" t="s">
        <v>23</v>
      </c>
      <c r="E480" s="2">
        <v>46</v>
      </c>
      <c r="F480" s="5">
        <v>1200.1300000000001</v>
      </c>
      <c r="G480" s="5">
        <v>0.09</v>
      </c>
      <c r="H480" s="4" t="s">
        <v>64</v>
      </c>
      <c r="I480" s="5">
        <v>-7.8</v>
      </c>
      <c r="J480" s="2">
        <v>28.15</v>
      </c>
      <c r="K480" s="5">
        <v>8.99</v>
      </c>
      <c r="L480" s="4" t="s">
        <v>1073</v>
      </c>
      <c r="M480" s="4" t="s">
        <v>66</v>
      </c>
      <c r="N480" s="4" t="s">
        <v>66</v>
      </c>
      <c r="O480" s="4" t="s">
        <v>18</v>
      </c>
      <c r="P480" s="4" t="s">
        <v>19</v>
      </c>
      <c r="Q480" s="4" t="s">
        <v>48</v>
      </c>
      <c r="R480" s="2" t="s">
        <v>819</v>
      </c>
      <c r="S480" s="4" t="s">
        <v>30</v>
      </c>
      <c r="T480" s="2">
        <v>0.56999999999999995</v>
      </c>
      <c r="U480" s="3">
        <v>40900</v>
      </c>
    </row>
    <row r="481" spans="1:21">
      <c r="A481" s="2">
        <v>2132</v>
      </c>
      <c r="B481" s="2">
        <v>15234</v>
      </c>
      <c r="C481" s="6">
        <v>40249</v>
      </c>
      <c r="D481" s="4" t="s">
        <v>23</v>
      </c>
      <c r="E481" s="2">
        <v>21</v>
      </c>
      <c r="F481" s="5">
        <v>2185.9535000000001</v>
      </c>
      <c r="G481" s="5">
        <v>0.1</v>
      </c>
      <c r="H481" s="4" t="s">
        <v>15</v>
      </c>
      <c r="I481" s="5">
        <v>268.01</v>
      </c>
      <c r="J481" s="2">
        <v>125.99</v>
      </c>
      <c r="K481" s="5">
        <v>8.99</v>
      </c>
      <c r="L481" s="4" t="s">
        <v>1074</v>
      </c>
      <c r="M481" s="4" t="s">
        <v>70</v>
      </c>
      <c r="N481" s="4" t="s">
        <v>44</v>
      </c>
      <c r="O481" s="4" t="s">
        <v>60</v>
      </c>
      <c r="P481" s="4" t="s">
        <v>40</v>
      </c>
      <c r="Q481" s="4" t="s">
        <v>41</v>
      </c>
      <c r="R481" s="2" t="s">
        <v>994</v>
      </c>
      <c r="S481" s="4" t="s">
        <v>51</v>
      </c>
      <c r="T481" s="2">
        <v>0.55000000000000004</v>
      </c>
      <c r="U481" s="3">
        <v>40250</v>
      </c>
    </row>
    <row r="482" spans="1:21">
      <c r="A482" s="2">
        <v>2173</v>
      </c>
      <c r="B482" s="2">
        <v>15651</v>
      </c>
      <c r="C482" s="6">
        <v>41186</v>
      </c>
      <c r="D482" s="4" t="s">
        <v>52</v>
      </c>
      <c r="E482" s="2">
        <v>40</v>
      </c>
      <c r="F482" s="5">
        <v>2182.91</v>
      </c>
      <c r="G482" s="5">
        <v>0.1</v>
      </c>
      <c r="H482" s="4" t="s">
        <v>64</v>
      </c>
      <c r="I482" s="5">
        <v>549.45000000000005</v>
      </c>
      <c r="J482" s="2">
        <v>60.22</v>
      </c>
      <c r="K482" s="5">
        <v>3.5</v>
      </c>
      <c r="L482" s="4" t="s">
        <v>1077</v>
      </c>
      <c r="M482" s="4" t="s">
        <v>258</v>
      </c>
      <c r="N482" s="4" t="s">
        <v>86</v>
      </c>
      <c r="O482" s="4" t="s">
        <v>18</v>
      </c>
      <c r="P482" s="4" t="s">
        <v>19</v>
      </c>
      <c r="Q482" s="4" t="s">
        <v>117</v>
      </c>
      <c r="R482" s="2" t="s">
        <v>1078</v>
      </c>
      <c r="S482" s="4" t="s">
        <v>51</v>
      </c>
      <c r="T482" s="2">
        <v>0.56999999999999995</v>
      </c>
      <c r="U482" s="3">
        <v>41189</v>
      </c>
    </row>
    <row r="483" spans="1:21">
      <c r="A483" s="2">
        <v>2176</v>
      </c>
      <c r="B483" s="2">
        <v>15654</v>
      </c>
      <c r="C483" s="6">
        <v>40088</v>
      </c>
      <c r="D483" s="4" t="s">
        <v>23</v>
      </c>
      <c r="E483" s="2">
        <v>27</v>
      </c>
      <c r="F483" s="5">
        <v>7937.59</v>
      </c>
      <c r="G483" s="5">
        <v>0.03</v>
      </c>
      <c r="H483" s="4" t="s">
        <v>37</v>
      </c>
      <c r="I483" s="5">
        <v>1383.24</v>
      </c>
      <c r="J483" s="2">
        <v>300.98</v>
      </c>
      <c r="K483" s="5">
        <v>54.92</v>
      </c>
      <c r="L483" s="4" t="s">
        <v>1079</v>
      </c>
      <c r="M483" s="4" t="s">
        <v>74</v>
      </c>
      <c r="N483" s="4" t="s">
        <v>74</v>
      </c>
      <c r="O483" s="4" t="s">
        <v>27</v>
      </c>
      <c r="P483" s="4" t="s">
        <v>33</v>
      </c>
      <c r="Q483" s="4" t="s">
        <v>87</v>
      </c>
      <c r="R483" s="2" t="s">
        <v>991</v>
      </c>
      <c r="S483" s="4" t="s">
        <v>39</v>
      </c>
      <c r="T483" s="2">
        <v>0.55000000000000004</v>
      </c>
      <c r="U483" s="3">
        <v>40090</v>
      </c>
    </row>
    <row r="484" spans="1:21">
      <c r="A484" s="2">
        <v>2191</v>
      </c>
      <c r="B484" s="2">
        <v>15781</v>
      </c>
      <c r="C484" s="6">
        <v>41155</v>
      </c>
      <c r="D484" s="4" t="s">
        <v>31</v>
      </c>
      <c r="E484" s="2">
        <v>29</v>
      </c>
      <c r="F484" s="5">
        <v>824.51</v>
      </c>
      <c r="G484" s="5">
        <v>0.01</v>
      </c>
      <c r="H484" s="4" t="s">
        <v>15</v>
      </c>
      <c r="I484" s="5">
        <v>0.9</v>
      </c>
      <c r="J484" s="2">
        <v>27.48</v>
      </c>
      <c r="K484" s="5">
        <v>4</v>
      </c>
      <c r="L484" s="4" t="s">
        <v>1080</v>
      </c>
      <c r="M484" s="4" t="s">
        <v>294</v>
      </c>
      <c r="N484" s="4" t="s">
        <v>86</v>
      </c>
      <c r="O484" s="4" t="s">
        <v>54</v>
      </c>
      <c r="P484" s="4" t="s">
        <v>40</v>
      </c>
      <c r="Q484" s="4" t="s">
        <v>45</v>
      </c>
      <c r="R484" s="2" t="s">
        <v>892</v>
      </c>
      <c r="S484" s="4" t="s">
        <v>51</v>
      </c>
      <c r="T484" s="2">
        <v>0.75</v>
      </c>
      <c r="U484" s="3">
        <v>41156</v>
      </c>
    </row>
    <row r="485" spans="1:21">
      <c r="A485" s="2">
        <v>2212</v>
      </c>
      <c r="B485" s="2">
        <v>15971</v>
      </c>
      <c r="C485" s="6">
        <v>40039</v>
      </c>
      <c r="D485" s="4" t="s">
        <v>31</v>
      </c>
      <c r="E485" s="2">
        <v>15</v>
      </c>
      <c r="F485" s="5">
        <v>2172.5149999999999</v>
      </c>
      <c r="G485" s="5">
        <v>0.06</v>
      </c>
      <c r="H485" s="4" t="s">
        <v>15</v>
      </c>
      <c r="I485" s="5">
        <v>32.75</v>
      </c>
      <c r="J485" s="2">
        <v>175.99</v>
      </c>
      <c r="K485" s="5">
        <v>8.99</v>
      </c>
      <c r="L485" s="4" t="s">
        <v>1081</v>
      </c>
      <c r="M485" s="4" t="s">
        <v>85</v>
      </c>
      <c r="N485" s="4" t="s">
        <v>86</v>
      </c>
      <c r="O485" s="4" t="s">
        <v>60</v>
      </c>
      <c r="P485" s="4" t="s">
        <v>40</v>
      </c>
      <c r="Q485" s="4" t="s">
        <v>41</v>
      </c>
      <c r="R485" s="2">
        <v>2180</v>
      </c>
      <c r="S485" s="4" t="s">
        <v>51</v>
      </c>
      <c r="T485" s="2">
        <v>0.56999999999999995</v>
      </c>
      <c r="U485" s="3">
        <v>40040</v>
      </c>
    </row>
    <row r="486" spans="1:21">
      <c r="A486" s="2">
        <v>2213</v>
      </c>
      <c r="B486" s="2">
        <v>15972</v>
      </c>
      <c r="C486" s="6">
        <v>40764</v>
      </c>
      <c r="D486" s="4" t="s">
        <v>23</v>
      </c>
      <c r="E486" s="2">
        <v>3</v>
      </c>
      <c r="F486" s="5">
        <v>10.33</v>
      </c>
      <c r="G486" s="5">
        <v>0.04</v>
      </c>
      <c r="H486" s="4" t="s">
        <v>15</v>
      </c>
      <c r="I486" s="5">
        <v>-3.86</v>
      </c>
      <c r="J486" s="2">
        <v>2.98</v>
      </c>
      <c r="K486" s="5">
        <v>1.58</v>
      </c>
      <c r="L486" s="4" t="s">
        <v>1082</v>
      </c>
      <c r="M486" s="4" t="s">
        <v>57</v>
      </c>
      <c r="N486" s="4" t="s">
        <v>57</v>
      </c>
      <c r="O486" s="4" t="s">
        <v>18</v>
      </c>
      <c r="P486" s="4" t="s">
        <v>19</v>
      </c>
      <c r="Q486" s="4" t="s">
        <v>67</v>
      </c>
      <c r="R486" s="2" t="s">
        <v>1083</v>
      </c>
      <c r="S486" s="4" t="s">
        <v>50</v>
      </c>
      <c r="T486" s="2">
        <v>0.39</v>
      </c>
      <c r="U486" s="3">
        <v>40764</v>
      </c>
    </row>
    <row r="487" spans="1:21">
      <c r="A487" s="2">
        <v>2225</v>
      </c>
      <c r="B487" s="2">
        <v>16098</v>
      </c>
      <c r="C487" s="6">
        <v>41111</v>
      </c>
      <c r="D487" s="4" t="s">
        <v>14</v>
      </c>
      <c r="E487" s="2">
        <v>31</v>
      </c>
      <c r="F487" s="5">
        <v>480.43</v>
      </c>
      <c r="G487" s="5">
        <v>0.06</v>
      </c>
      <c r="H487" s="4" t="s">
        <v>15</v>
      </c>
      <c r="I487" s="5">
        <v>50.59</v>
      </c>
      <c r="J487" s="2">
        <v>14.98</v>
      </c>
      <c r="K487" s="5">
        <v>8.99</v>
      </c>
      <c r="L487" s="4" t="s">
        <v>1084</v>
      </c>
      <c r="M487" s="4" t="s">
        <v>57</v>
      </c>
      <c r="N487" s="4" t="s">
        <v>57</v>
      </c>
      <c r="O487" s="4" t="s">
        <v>54</v>
      </c>
      <c r="P487" s="4" t="s">
        <v>33</v>
      </c>
      <c r="Q487" s="4" t="s">
        <v>34</v>
      </c>
      <c r="R487" s="2" t="s">
        <v>533</v>
      </c>
      <c r="S487" s="4" t="s">
        <v>30</v>
      </c>
      <c r="T487" s="2">
        <v>0.39</v>
      </c>
      <c r="U487" s="3">
        <v>41115</v>
      </c>
    </row>
    <row r="488" spans="1:21">
      <c r="A488" s="2">
        <v>2227</v>
      </c>
      <c r="B488" s="2">
        <v>16100</v>
      </c>
      <c r="C488" s="6">
        <v>40609</v>
      </c>
      <c r="D488" s="4" t="s">
        <v>72</v>
      </c>
      <c r="E488" s="2">
        <v>44</v>
      </c>
      <c r="F488" s="5">
        <v>226.18</v>
      </c>
      <c r="G488" s="5">
        <v>0.01</v>
      </c>
      <c r="H488" s="4" t="s">
        <v>15</v>
      </c>
      <c r="I488" s="5">
        <v>-115.54</v>
      </c>
      <c r="J488" s="2">
        <v>4.82</v>
      </c>
      <c r="K488" s="5">
        <v>5.72</v>
      </c>
      <c r="L488" s="4" t="s">
        <v>1085</v>
      </c>
      <c r="M488" s="4" t="s">
        <v>199</v>
      </c>
      <c r="N488" s="4" t="s">
        <v>86</v>
      </c>
      <c r="O488" s="4" t="s">
        <v>27</v>
      </c>
      <c r="P488" s="4" t="s">
        <v>33</v>
      </c>
      <c r="Q488" s="4" t="s">
        <v>34</v>
      </c>
      <c r="R488" s="2" t="s">
        <v>1000</v>
      </c>
      <c r="S488" s="4" t="s">
        <v>30</v>
      </c>
      <c r="T488" s="2">
        <v>0.47</v>
      </c>
      <c r="U488" s="3">
        <v>40610</v>
      </c>
    </row>
    <row r="489" spans="1:21">
      <c r="A489" s="2">
        <v>2249</v>
      </c>
      <c r="B489" s="2">
        <v>16196</v>
      </c>
      <c r="C489" s="6">
        <v>40106</v>
      </c>
      <c r="D489" s="4" t="s">
        <v>31</v>
      </c>
      <c r="E489" s="2">
        <v>44</v>
      </c>
      <c r="F489" s="5">
        <v>14521.39</v>
      </c>
      <c r="G489" s="5">
        <v>0.03</v>
      </c>
      <c r="H489" s="4" t="s">
        <v>15</v>
      </c>
      <c r="I489" s="5">
        <v>5034.1499999999996</v>
      </c>
      <c r="J489" s="2">
        <v>320.98</v>
      </c>
      <c r="K489" s="5">
        <v>24.49</v>
      </c>
      <c r="L489" s="4" t="s">
        <v>1086</v>
      </c>
      <c r="M489" s="4" t="s">
        <v>57</v>
      </c>
      <c r="N489" s="4" t="s">
        <v>57</v>
      </c>
      <c r="O489" s="4" t="s">
        <v>54</v>
      </c>
      <c r="P489" s="4" t="s">
        <v>33</v>
      </c>
      <c r="Q489" s="4" t="s">
        <v>172</v>
      </c>
      <c r="R489" s="2" t="s">
        <v>963</v>
      </c>
      <c r="S489" s="4" t="s">
        <v>22</v>
      </c>
      <c r="T489" s="2">
        <v>0.55000000000000004</v>
      </c>
      <c r="U489" s="3">
        <v>40108</v>
      </c>
    </row>
    <row r="490" spans="1:21">
      <c r="A490" s="2">
        <v>2261</v>
      </c>
      <c r="B490" s="2">
        <v>16257</v>
      </c>
      <c r="C490" s="6">
        <v>41034</v>
      </c>
      <c r="D490" s="4" t="s">
        <v>23</v>
      </c>
      <c r="E490" s="2">
        <v>16</v>
      </c>
      <c r="F490" s="5">
        <v>102.73</v>
      </c>
      <c r="G490" s="5">
        <v>0.03</v>
      </c>
      <c r="H490" s="4" t="s">
        <v>15</v>
      </c>
      <c r="I490" s="5">
        <v>16.329999999999998</v>
      </c>
      <c r="J490" s="2">
        <v>5.98</v>
      </c>
      <c r="K490" s="5">
        <v>2.5</v>
      </c>
      <c r="L490" s="4" t="s">
        <v>1087</v>
      </c>
      <c r="M490" s="4" t="s">
        <v>47</v>
      </c>
      <c r="N490" s="4" t="s">
        <v>26</v>
      </c>
      <c r="O490" s="4" t="s">
        <v>54</v>
      </c>
      <c r="P490" s="4" t="s">
        <v>19</v>
      </c>
      <c r="Q490" s="4" t="s">
        <v>128</v>
      </c>
      <c r="R490" s="2" t="s">
        <v>383</v>
      </c>
      <c r="S490" s="4" t="s">
        <v>51</v>
      </c>
      <c r="T490" s="2">
        <v>0.36</v>
      </c>
      <c r="U490" s="3">
        <v>41035</v>
      </c>
    </row>
    <row r="491" spans="1:21">
      <c r="A491" s="2">
        <v>2264</v>
      </c>
      <c r="B491" s="2">
        <v>16260</v>
      </c>
      <c r="C491" s="6">
        <v>40860</v>
      </c>
      <c r="D491" s="4" t="s">
        <v>31</v>
      </c>
      <c r="E491" s="2">
        <v>47</v>
      </c>
      <c r="F491" s="5">
        <v>14960.096</v>
      </c>
      <c r="G491" s="5">
        <v>0.01</v>
      </c>
      <c r="H491" s="4" t="s">
        <v>37</v>
      </c>
      <c r="I491" s="5">
        <v>-969.05</v>
      </c>
      <c r="J491" s="2">
        <v>400.98</v>
      </c>
      <c r="K491" s="5">
        <v>42.52</v>
      </c>
      <c r="L491" s="4" t="s">
        <v>1088</v>
      </c>
      <c r="M491" s="4" t="s">
        <v>57</v>
      </c>
      <c r="N491" s="4" t="s">
        <v>57</v>
      </c>
      <c r="O491" s="4" t="s">
        <v>27</v>
      </c>
      <c r="P491" s="4" t="s">
        <v>33</v>
      </c>
      <c r="Q491" s="4" t="s">
        <v>38</v>
      </c>
      <c r="R491" s="2" t="s">
        <v>711</v>
      </c>
      <c r="S491" s="4" t="s">
        <v>39</v>
      </c>
      <c r="T491" s="2">
        <v>0.71</v>
      </c>
      <c r="U491" s="3">
        <v>40861</v>
      </c>
    </row>
    <row r="492" spans="1:21">
      <c r="A492" s="2">
        <v>2279</v>
      </c>
      <c r="B492" s="2">
        <v>16422</v>
      </c>
      <c r="C492" s="6">
        <v>40825</v>
      </c>
      <c r="D492" s="4" t="s">
        <v>52</v>
      </c>
      <c r="E492" s="2">
        <v>40</v>
      </c>
      <c r="F492" s="5">
        <v>272.01</v>
      </c>
      <c r="G492" s="5">
        <v>0.01</v>
      </c>
      <c r="H492" s="4" t="s">
        <v>15</v>
      </c>
      <c r="I492" s="5">
        <v>-42.45</v>
      </c>
      <c r="J492" s="2">
        <v>6.48</v>
      </c>
      <c r="K492" s="5">
        <v>5.14</v>
      </c>
      <c r="L492" s="4" t="s">
        <v>1089</v>
      </c>
      <c r="M492" s="4" t="s">
        <v>43</v>
      </c>
      <c r="N492" s="4" t="s">
        <v>44</v>
      </c>
      <c r="O492" s="4" t="s">
        <v>18</v>
      </c>
      <c r="P492" s="4" t="s">
        <v>19</v>
      </c>
      <c r="Q492" s="4" t="s">
        <v>78</v>
      </c>
      <c r="R492" s="2" t="s">
        <v>212</v>
      </c>
      <c r="S492" s="4" t="s">
        <v>51</v>
      </c>
      <c r="T492" s="2">
        <v>0.37</v>
      </c>
      <c r="U492" s="3">
        <v>40826</v>
      </c>
    </row>
    <row r="493" spans="1:21">
      <c r="A493" s="2">
        <v>2321</v>
      </c>
      <c r="B493" s="2">
        <v>16711</v>
      </c>
      <c r="C493" s="6">
        <v>41024</v>
      </c>
      <c r="D493" s="4" t="s">
        <v>23</v>
      </c>
      <c r="E493" s="2">
        <v>3</v>
      </c>
      <c r="F493" s="5">
        <v>3.96</v>
      </c>
      <c r="G493" s="5">
        <v>0.1</v>
      </c>
      <c r="H493" s="4" t="s">
        <v>15</v>
      </c>
      <c r="I493" s="5">
        <v>-1.72</v>
      </c>
      <c r="J493" s="2">
        <v>1.1399999999999999</v>
      </c>
      <c r="K493" s="5">
        <v>0.7</v>
      </c>
      <c r="L493" s="4" t="s">
        <v>1090</v>
      </c>
      <c r="M493" s="4" t="s">
        <v>66</v>
      </c>
      <c r="N493" s="4" t="s">
        <v>66</v>
      </c>
      <c r="O493" s="4" t="s">
        <v>18</v>
      </c>
      <c r="P493" s="4" t="s">
        <v>19</v>
      </c>
      <c r="Q493" s="4" t="s">
        <v>67</v>
      </c>
      <c r="R493" s="2" t="s">
        <v>995</v>
      </c>
      <c r="S493" s="4" t="s">
        <v>50</v>
      </c>
      <c r="T493" s="2">
        <v>0.38</v>
      </c>
      <c r="U493" s="3">
        <v>41026</v>
      </c>
    </row>
    <row r="494" spans="1:21">
      <c r="A494" s="2">
        <v>2365</v>
      </c>
      <c r="B494" s="2">
        <v>17093</v>
      </c>
      <c r="C494" s="6">
        <v>40950</v>
      </c>
      <c r="D494" s="4" t="s">
        <v>23</v>
      </c>
      <c r="E494" s="2">
        <v>50</v>
      </c>
      <c r="F494" s="5">
        <v>4550.0600000000004</v>
      </c>
      <c r="G494" s="5">
        <v>0.1</v>
      </c>
      <c r="H494" s="4" t="s">
        <v>37</v>
      </c>
      <c r="I494" s="5">
        <v>-1335.32</v>
      </c>
      <c r="J494" s="2">
        <v>95.98</v>
      </c>
      <c r="K494" s="5">
        <v>58.2</v>
      </c>
      <c r="L494" s="4" t="s">
        <v>1092</v>
      </c>
      <c r="M494" s="4" t="s">
        <v>74</v>
      </c>
      <c r="N494" s="4" t="s">
        <v>74</v>
      </c>
      <c r="O494" s="4" t="s">
        <v>27</v>
      </c>
      <c r="P494" s="4" t="s">
        <v>33</v>
      </c>
      <c r="Q494" s="4" t="s">
        <v>172</v>
      </c>
      <c r="R494" s="2" t="s">
        <v>869</v>
      </c>
      <c r="S494" s="4" t="s">
        <v>121</v>
      </c>
      <c r="T494" s="2">
        <v>0.57999999999999996</v>
      </c>
      <c r="U494" s="3">
        <v>40952</v>
      </c>
    </row>
    <row r="495" spans="1:21">
      <c r="A495" s="2">
        <v>2375</v>
      </c>
      <c r="B495" s="2">
        <v>17218</v>
      </c>
      <c r="C495" s="6">
        <v>41113</v>
      </c>
      <c r="D495" s="4" t="s">
        <v>52</v>
      </c>
      <c r="E495" s="2">
        <v>32</v>
      </c>
      <c r="F495" s="5">
        <v>157.85</v>
      </c>
      <c r="G495" s="5">
        <v>0.06</v>
      </c>
      <c r="H495" s="4" t="s">
        <v>15</v>
      </c>
      <c r="I495" s="5">
        <v>22.54</v>
      </c>
      <c r="J495" s="2">
        <v>5.18</v>
      </c>
      <c r="K495" s="5">
        <v>2.04</v>
      </c>
      <c r="L495" s="4" t="s">
        <v>1093</v>
      </c>
      <c r="M495" s="4" t="s">
        <v>66</v>
      </c>
      <c r="N495" s="4" t="s">
        <v>66</v>
      </c>
      <c r="O495" s="4" t="s">
        <v>60</v>
      </c>
      <c r="P495" s="4" t="s">
        <v>19</v>
      </c>
      <c r="Q495" s="4" t="s">
        <v>78</v>
      </c>
      <c r="R495" s="2" t="s">
        <v>945</v>
      </c>
      <c r="S495" s="4" t="s">
        <v>50</v>
      </c>
      <c r="T495" s="2">
        <v>0.36</v>
      </c>
      <c r="U495" s="3">
        <v>41115</v>
      </c>
    </row>
    <row r="496" spans="1:21">
      <c r="A496" s="2">
        <v>2434</v>
      </c>
      <c r="B496" s="2">
        <v>17669</v>
      </c>
      <c r="C496" s="6">
        <v>39932</v>
      </c>
      <c r="D496" s="4" t="s">
        <v>31</v>
      </c>
      <c r="E496" s="2">
        <v>32</v>
      </c>
      <c r="F496" s="5">
        <v>1116.03</v>
      </c>
      <c r="G496" s="5">
        <v>0.04</v>
      </c>
      <c r="H496" s="4" t="s">
        <v>15</v>
      </c>
      <c r="I496" s="5">
        <v>203.44</v>
      </c>
      <c r="J496" s="2">
        <v>34.76</v>
      </c>
      <c r="K496" s="5">
        <v>5.49</v>
      </c>
      <c r="L496" s="4" t="s">
        <v>1095</v>
      </c>
      <c r="M496" s="4" t="s">
        <v>74</v>
      </c>
      <c r="N496" s="4" t="s">
        <v>74</v>
      </c>
      <c r="O496" s="4" t="s">
        <v>18</v>
      </c>
      <c r="P496" s="4" t="s">
        <v>19</v>
      </c>
      <c r="Q496" s="4" t="s">
        <v>20</v>
      </c>
      <c r="R496" s="2" t="s">
        <v>652</v>
      </c>
      <c r="S496" s="4" t="s">
        <v>51</v>
      </c>
      <c r="T496" s="2">
        <v>0.6</v>
      </c>
      <c r="U496" s="3">
        <v>39933</v>
      </c>
    </row>
    <row r="497" spans="1:21">
      <c r="A497" s="2">
        <v>2474</v>
      </c>
      <c r="B497" s="2">
        <v>17985</v>
      </c>
      <c r="C497" s="6">
        <v>40645</v>
      </c>
      <c r="D497" s="4" t="s">
        <v>72</v>
      </c>
      <c r="E497" s="2">
        <v>4</v>
      </c>
      <c r="F497" s="5">
        <v>473.88</v>
      </c>
      <c r="G497" s="5">
        <v>0.01</v>
      </c>
      <c r="H497" s="4" t="s">
        <v>37</v>
      </c>
      <c r="I497" s="5">
        <v>-183.26</v>
      </c>
      <c r="J497" s="2">
        <v>110.98</v>
      </c>
      <c r="K497" s="5">
        <v>30</v>
      </c>
      <c r="L497" s="4" t="s">
        <v>1097</v>
      </c>
      <c r="M497" s="4" t="s">
        <v>57</v>
      </c>
      <c r="N497" s="4" t="s">
        <v>57</v>
      </c>
      <c r="O497" s="4" t="s">
        <v>54</v>
      </c>
      <c r="P497" s="4" t="s">
        <v>33</v>
      </c>
      <c r="Q497" s="4" t="s">
        <v>172</v>
      </c>
      <c r="R497" s="2" t="s">
        <v>1098</v>
      </c>
      <c r="S497" s="4" t="s">
        <v>121</v>
      </c>
      <c r="T497" s="2">
        <v>0.71</v>
      </c>
      <c r="U497" s="3">
        <v>40646</v>
      </c>
    </row>
    <row r="498" spans="1:21">
      <c r="A498" s="2">
        <v>2527</v>
      </c>
      <c r="B498" s="2">
        <v>18368</v>
      </c>
      <c r="C498" s="6">
        <v>41243</v>
      </c>
      <c r="D498" s="4" t="s">
        <v>23</v>
      </c>
      <c r="E498" s="2">
        <v>3</v>
      </c>
      <c r="F498" s="5">
        <v>212.91</v>
      </c>
      <c r="G498" s="5">
        <v>0</v>
      </c>
      <c r="H498" s="4" t="s">
        <v>15</v>
      </c>
      <c r="I498" s="5">
        <v>-65.150000000000006</v>
      </c>
      <c r="J498" s="2">
        <v>70.97</v>
      </c>
      <c r="K498" s="5">
        <v>3.5</v>
      </c>
      <c r="L498" s="4" t="s">
        <v>1099</v>
      </c>
      <c r="M498" s="4" t="s">
        <v>25</v>
      </c>
      <c r="N498" s="4" t="s">
        <v>26</v>
      </c>
      <c r="O498" s="4" t="s">
        <v>27</v>
      </c>
      <c r="P498" s="4" t="s">
        <v>19</v>
      </c>
      <c r="Q498" s="4" t="s">
        <v>117</v>
      </c>
      <c r="R498" s="2" t="s">
        <v>242</v>
      </c>
      <c r="S498" s="4" t="s">
        <v>51</v>
      </c>
      <c r="T498" s="2">
        <v>0.59</v>
      </c>
      <c r="U498" s="3">
        <v>41245</v>
      </c>
    </row>
    <row r="499" spans="1:21">
      <c r="A499" s="2">
        <v>2533</v>
      </c>
      <c r="B499" s="2">
        <v>18374</v>
      </c>
      <c r="C499" s="6">
        <v>41182</v>
      </c>
      <c r="D499" s="4" t="s">
        <v>14</v>
      </c>
      <c r="E499" s="2">
        <v>21</v>
      </c>
      <c r="F499" s="5">
        <v>150.16</v>
      </c>
      <c r="G499" s="5">
        <v>0.09</v>
      </c>
      <c r="H499" s="4" t="s">
        <v>15</v>
      </c>
      <c r="I499" s="5">
        <v>-32.78</v>
      </c>
      <c r="J499" s="2">
        <v>7.28</v>
      </c>
      <c r="K499" s="5">
        <v>5.47</v>
      </c>
      <c r="L499" s="4" t="s">
        <v>1100</v>
      </c>
      <c r="M499" s="4" t="s">
        <v>43</v>
      </c>
      <c r="N499" s="4" t="s">
        <v>44</v>
      </c>
      <c r="O499" s="4" t="s">
        <v>27</v>
      </c>
      <c r="P499" s="4" t="s">
        <v>19</v>
      </c>
      <c r="Q499" s="4" t="s">
        <v>78</v>
      </c>
      <c r="R499" s="2" t="s">
        <v>1018</v>
      </c>
      <c r="S499" s="4" t="s">
        <v>51</v>
      </c>
      <c r="T499" s="2">
        <v>0.35</v>
      </c>
      <c r="U499" s="3">
        <v>41184</v>
      </c>
    </row>
    <row r="500" spans="1:21">
      <c r="A500" s="2">
        <v>2544</v>
      </c>
      <c r="B500" s="2">
        <v>18464</v>
      </c>
      <c r="C500" s="6">
        <v>40996</v>
      </c>
      <c r="D500" s="4" t="s">
        <v>31</v>
      </c>
      <c r="E500" s="2">
        <v>27</v>
      </c>
      <c r="F500" s="5">
        <v>4891.8599999999997</v>
      </c>
      <c r="G500" s="5">
        <v>0.02</v>
      </c>
      <c r="H500" s="4" t="s">
        <v>37</v>
      </c>
      <c r="I500" s="5">
        <v>253.14</v>
      </c>
      <c r="J500" s="2">
        <v>180.98</v>
      </c>
      <c r="K500" s="5">
        <v>55.24</v>
      </c>
      <c r="L500" s="4" t="s">
        <v>1101</v>
      </c>
      <c r="M500" s="4" t="s">
        <v>85</v>
      </c>
      <c r="N500" s="4" t="s">
        <v>86</v>
      </c>
      <c r="O500" s="4" t="s">
        <v>18</v>
      </c>
      <c r="P500" s="4" t="s">
        <v>19</v>
      </c>
      <c r="Q500" s="4" t="s">
        <v>117</v>
      </c>
      <c r="R500" s="2" t="s">
        <v>935</v>
      </c>
      <c r="S500" s="4" t="s">
        <v>121</v>
      </c>
      <c r="T500" s="2">
        <v>0.56999999999999995</v>
      </c>
      <c r="U500" s="3">
        <v>40998</v>
      </c>
    </row>
    <row r="501" spans="1:21">
      <c r="A501" s="2">
        <v>2548</v>
      </c>
      <c r="B501" s="2">
        <v>18465</v>
      </c>
      <c r="C501" s="6">
        <v>40283</v>
      </c>
      <c r="D501" s="4" t="s">
        <v>31</v>
      </c>
      <c r="E501" s="2">
        <v>12</v>
      </c>
      <c r="F501" s="5">
        <v>816.23</v>
      </c>
      <c r="G501" s="5">
        <v>0.05</v>
      </c>
      <c r="H501" s="4" t="s">
        <v>15</v>
      </c>
      <c r="I501" s="5">
        <v>-353.71</v>
      </c>
      <c r="J501" s="2">
        <v>64.650000000000006</v>
      </c>
      <c r="K501" s="5">
        <v>35</v>
      </c>
      <c r="L501" s="4" t="s">
        <v>1102</v>
      </c>
      <c r="M501" s="4" t="s">
        <v>57</v>
      </c>
      <c r="N501" s="4" t="s">
        <v>57</v>
      </c>
      <c r="O501" s="4" t="s">
        <v>18</v>
      </c>
      <c r="P501" s="4" t="s">
        <v>19</v>
      </c>
      <c r="Q501" s="4" t="s">
        <v>20</v>
      </c>
      <c r="R501" s="2" t="s">
        <v>851</v>
      </c>
      <c r="S501" s="4" t="s">
        <v>22</v>
      </c>
      <c r="T501" s="2">
        <v>0.8</v>
      </c>
      <c r="U501" s="3">
        <v>40285</v>
      </c>
    </row>
    <row r="502" spans="1:21">
      <c r="A502" s="2">
        <v>2573</v>
      </c>
      <c r="B502" s="2">
        <v>18592</v>
      </c>
      <c r="C502" s="6">
        <v>41182</v>
      </c>
      <c r="D502" s="4" t="s">
        <v>52</v>
      </c>
      <c r="E502" s="2">
        <v>2</v>
      </c>
      <c r="F502" s="5">
        <v>25.72</v>
      </c>
      <c r="G502" s="5">
        <v>0.04</v>
      </c>
      <c r="H502" s="4" t="s">
        <v>15</v>
      </c>
      <c r="I502" s="5">
        <v>-15.5</v>
      </c>
      <c r="J502" s="2">
        <v>10.98</v>
      </c>
      <c r="K502" s="5">
        <v>3.37</v>
      </c>
      <c r="L502" s="4" t="s">
        <v>1103</v>
      </c>
      <c r="M502" s="4" t="s">
        <v>70</v>
      </c>
      <c r="N502" s="4" t="s">
        <v>44</v>
      </c>
      <c r="O502" s="4" t="s">
        <v>27</v>
      </c>
      <c r="P502" s="4" t="s">
        <v>19</v>
      </c>
      <c r="Q502" s="4" t="s">
        <v>28</v>
      </c>
      <c r="R502" s="2" t="s">
        <v>1041</v>
      </c>
      <c r="S502" s="4" t="s">
        <v>30</v>
      </c>
      <c r="T502" s="2">
        <v>0.56999999999999995</v>
      </c>
      <c r="U502" s="3">
        <v>41183</v>
      </c>
    </row>
    <row r="503" spans="1:21">
      <c r="A503" s="2">
        <v>2591</v>
      </c>
      <c r="B503" s="2">
        <v>18723</v>
      </c>
      <c r="C503" s="6">
        <v>40037</v>
      </c>
      <c r="D503" s="4" t="s">
        <v>72</v>
      </c>
      <c r="E503" s="2">
        <v>1</v>
      </c>
      <c r="F503" s="5">
        <v>52.096499999999999</v>
      </c>
      <c r="G503" s="5">
        <v>0</v>
      </c>
      <c r="H503" s="4" t="s">
        <v>15</v>
      </c>
      <c r="I503" s="5">
        <v>-232.8</v>
      </c>
      <c r="J503" s="2">
        <v>55.99</v>
      </c>
      <c r="K503" s="5">
        <v>2.5</v>
      </c>
      <c r="L503" s="4" t="s">
        <v>1104</v>
      </c>
      <c r="M503" s="4" t="s">
        <v>57</v>
      </c>
      <c r="N503" s="4" t="s">
        <v>57</v>
      </c>
      <c r="O503" s="4" t="s">
        <v>60</v>
      </c>
      <c r="P503" s="4" t="s">
        <v>40</v>
      </c>
      <c r="Q503" s="4" t="s">
        <v>41</v>
      </c>
      <c r="R503" s="2" t="s">
        <v>801</v>
      </c>
      <c r="S503" s="4" t="s">
        <v>30</v>
      </c>
      <c r="T503" s="2">
        <v>0.83</v>
      </c>
      <c r="U503" s="3">
        <v>40039</v>
      </c>
    </row>
    <row r="504" spans="1:21">
      <c r="A504" s="2">
        <v>2594</v>
      </c>
      <c r="B504" s="2">
        <v>18754</v>
      </c>
      <c r="C504" s="6">
        <v>40081</v>
      </c>
      <c r="D504" s="4" t="s">
        <v>23</v>
      </c>
      <c r="E504" s="2">
        <v>8</v>
      </c>
      <c r="F504" s="5">
        <v>1217.6199999999999</v>
      </c>
      <c r="G504" s="5">
        <v>0.03</v>
      </c>
      <c r="H504" s="4" t="s">
        <v>37</v>
      </c>
      <c r="I504" s="5">
        <v>-221.5</v>
      </c>
      <c r="J504" s="2">
        <v>140.97999999999999</v>
      </c>
      <c r="K504" s="5">
        <v>36.090000000000003</v>
      </c>
      <c r="L504" s="4" t="s">
        <v>1105</v>
      </c>
      <c r="M504" s="4" t="s">
        <v>85</v>
      </c>
      <c r="N504" s="4" t="s">
        <v>86</v>
      </c>
      <c r="O504" s="4" t="s">
        <v>18</v>
      </c>
      <c r="P504" s="4" t="s">
        <v>33</v>
      </c>
      <c r="Q504" s="4" t="s">
        <v>87</v>
      </c>
      <c r="R504" s="2" t="s">
        <v>737</v>
      </c>
      <c r="S504" s="4" t="s">
        <v>39</v>
      </c>
      <c r="T504" s="2">
        <v>0.77</v>
      </c>
      <c r="U504" s="3">
        <v>40083</v>
      </c>
    </row>
    <row r="505" spans="1:21">
      <c r="A505" s="2">
        <v>2596</v>
      </c>
      <c r="B505" s="2">
        <v>18757</v>
      </c>
      <c r="C505" s="6">
        <v>41051</v>
      </c>
      <c r="D505" s="4" t="s">
        <v>14</v>
      </c>
      <c r="E505" s="2">
        <v>9</v>
      </c>
      <c r="F505" s="5">
        <v>222.2</v>
      </c>
      <c r="G505" s="5">
        <v>0.03</v>
      </c>
      <c r="H505" s="4" t="s">
        <v>15</v>
      </c>
      <c r="I505" s="5">
        <v>-40.25</v>
      </c>
      <c r="J505" s="2">
        <v>22.38</v>
      </c>
      <c r="K505" s="5">
        <v>15.1</v>
      </c>
      <c r="L505" s="4" t="s">
        <v>1106</v>
      </c>
      <c r="M505" s="4" t="s">
        <v>57</v>
      </c>
      <c r="N505" s="4" t="s">
        <v>57</v>
      </c>
      <c r="O505" s="4" t="s">
        <v>60</v>
      </c>
      <c r="P505" s="4" t="s">
        <v>19</v>
      </c>
      <c r="Q505" s="4" t="s">
        <v>111</v>
      </c>
      <c r="R505" s="2" t="s">
        <v>644</v>
      </c>
      <c r="S505" s="4" t="s">
        <v>51</v>
      </c>
      <c r="T505" s="2">
        <v>0.38</v>
      </c>
      <c r="U505" s="3">
        <v>41053</v>
      </c>
    </row>
    <row r="506" spans="1:21">
      <c r="A506" s="2">
        <v>2601</v>
      </c>
      <c r="B506" s="2">
        <v>18789</v>
      </c>
      <c r="C506" s="6">
        <v>40618</v>
      </c>
      <c r="D506" s="4" t="s">
        <v>31</v>
      </c>
      <c r="E506" s="2">
        <v>50</v>
      </c>
      <c r="F506" s="5">
        <v>1558.18</v>
      </c>
      <c r="G506" s="5">
        <v>0</v>
      </c>
      <c r="H506" s="4" t="s">
        <v>15</v>
      </c>
      <c r="I506" s="5">
        <v>417.62</v>
      </c>
      <c r="J506" s="2">
        <v>30.98</v>
      </c>
      <c r="K506" s="5">
        <v>9.18</v>
      </c>
      <c r="L506" s="4" t="s">
        <v>1108</v>
      </c>
      <c r="M506" s="4" t="s">
        <v>43</v>
      </c>
      <c r="N506" s="4" t="s">
        <v>44</v>
      </c>
      <c r="O506" s="4" t="s">
        <v>18</v>
      </c>
      <c r="P506" s="4" t="s">
        <v>19</v>
      </c>
      <c r="Q506" s="4" t="s">
        <v>78</v>
      </c>
      <c r="R506" s="2" t="s">
        <v>1109</v>
      </c>
      <c r="S506" s="4" t="s">
        <v>51</v>
      </c>
      <c r="T506" s="2">
        <v>0.4</v>
      </c>
      <c r="U506" s="3">
        <v>40620</v>
      </c>
    </row>
    <row r="507" spans="1:21">
      <c r="A507" s="2">
        <v>2653</v>
      </c>
      <c r="B507" s="2">
        <v>19204</v>
      </c>
      <c r="C507" s="6">
        <v>40074</v>
      </c>
      <c r="D507" s="4" t="s">
        <v>72</v>
      </c>
      <c r="E507" s="2">
        <v>27</v>
      </c>
      <c r="F507" s="5">
        <v>233.92</v>
      </c>
      <c r="G507" s="5">
        <v>0.1</v>
      </c>
      <c r="H507" s="4" t="s">
        <v>15</v>
      </c>
      <c r="I507" s="5">
        <v>-80.75</v>
      </c>
      <c r="J507" s="2">
        <v>8.75</v>
      </c>
      <c r="K507" s="5">
        <v>8.5399999999999991</v>
      </c>
      <c r="L507" s="4" t="s">
        <v>1110</v>
      </c>
      <c r="M507" s="4" t="s">
        <v>57</v>
      </c>
      <c r="N507" s="4" t="s">
        <v>57</v>
      </c>
      <c r="O507" s="4" t="s">
        <v>27</v>
      </c>
      <c r="P507" s="4" t="s">
        <v>33</v>
      </c>
      <c r="Q507" s="4" t="s">
        <v>34</v>
      </c>
      <c r="R507" s="2" t="s">
        <v>706</v>
      </c>
      <c r="S507" s="4" t="s">
        <v>30</v>
      </c>
      <c r="T507" s="2">
        <v>0.43</v>
      </c>
      <c r="U507" s="3">
        <v>40075</v>
      </c>
    </row>
    <row r="508" spans="1:21">
      <c r="A508" s="2">
        <v>2691</v>
      </c>
      <c r="B508" s="2">
        <v>19492</v>
      </c>
      <c r="C508" s="6">
        <v>40524</v>
      </c>
      <c r="D508" s="4" t="s">
        <v>31</v>
      </c>
      <c r="E508" s="2">
        <v>9</v>
      </c>
      <c r="F508" s="5">
        <v>691.09</v>
      </c>
      <c r="G508" s="5">
        <v>0.08</v>
      </c>
      <c r="H508" s="4" t="s">
        <v>15</v>
      </c>
      <c r="I508" s="5">
        <v>364.03</v>
      </c>
      <c r="J508" s="2">
        <v>78.69</v>
      </c>
      <c r="K508" s="5">
        <v>19.989999999999998</v>
      </c>
      <c r="L508" s="4" t="s">
        <v>1111</v>
      </c>
      <c r="M508" s="4" t="s">
        <v>70</v>
      </c>
      <c r="N508" s="4" t="s">
        <v>44</v>
      </c>
      <c r="O508" s="4" t="s">
        <v>18</v>
      </c>
      <c r="P508" s="4" t="s">
        <v>33</v>
      </c>
      <c r="Q508" s="4" t="s">
        <v>34</v>
      </c>
      <c r="R508" s="2" t="s">
        <v>1112</v>
      </c>
      <c r="S508" s="4" t="s">
        <v>51</v>
      </c>
      <c r="T508" s="2">
        <v>0.43</v>
      </c>
      <c r="U508" s="3">
        <v>40526</v>
      </c>
    </row>
    <row r="509" spans="1:21">
      <c r="A509" s="2">
        <v>2699</v>
      </c>
      <c r="B509" s="2">
        <v>19523</v>
      </c>
      <c r="C509" s="6">
        <v>40877</v>
      </c>
      <c r="D509" s="4" t="s">
        <v>31</v>
      </c>
      <c r="E509" s="2">
        <v>44</v>
      </c>
      <c r="F509" s="5">
        <v>155.78</v>
      </c>
      <c r="G509" s="5">
        <v>0.04</v>
      </c>
      <c r="H509" s="4" t="s">
        <v>15</v>
      </c>
      <c r="I509" s="5">
        <v>-10</v>
      </c>
      <c r="J509" s="2">
        <v>3.6</v>
      </c>
      <c r="K509" s="5">
        <v>2.2000000000000002</v>
      </c>
      <c r="L509" s="4" t="s">
        <v>1113</v>
      </c>
      <c r="M509" s="4" t="s">
        <v>57</v>
      </c>
      <c r="N509" s="4" t="s">
        <v>57</v>
      </c>
      <c r="O509" s="4" t="s">
        <v>27</v>
      </c>
      <c r="P509" s="4" t="s">
        <v>19</v>
      </c>
      <c r="Q509" s="4" t="s">
        <v>78</v>
      </c>
      <c r="R509" s="2" t="s">
        <v>1114</v>
      </c>
      <c r="S509" s="4" t="s">
        <v>50</v>
      </c>
      <c r="T509" s="2">
        <v>0.39</v>
      </c>
      <c r="U509" s="3">
        <v>40878</v>
      </c>
    </row>
    <row r="510" spans="1:21">
      <c r="A510" s="2">
        <v>2725</v>
      </c>
      <c r="B510" s="2">
        <v>19654</v>
      </c>
      <c r="C510" s="6">
        <v>40552</v>
      </c>
      <c r="D510" s="4" t="s">
        <v>31</v>
      </c>
      <c r="E510" s="2">
        <v>8</v>
      </c>
      <c r="F510" s="5">
        <v>381.69</v>
      </c>
      <c r="G510" s="5">
        <v>0.04</v>
      </c>
      <c r="H510" s="4" t="s">
        <v>15</v>
      </c>
      <c r="I510" s="5">
        <v>256.18</v>
      </c>
      <c r="J510" s="2">
        <v>46.94</v>
      </c>
      <c r="K510" s="5">
        <v>6.77</v>
      </c>
      <c r="L510" s="4" t="s">
        <v>1115</v>
      </c>
      <c r="M510" s="4" t="s">
        <v>43</v>
      </c>
      <c r="N510" s="4" t="s">
        <v>44</v>
      </c>
      <c r="O510" s="4" t="s">
        <v>54</v>
      </c>
      <c r="P510" s="4" t="s">
        <v>33</v>
      </c>
      <c r="Q510" s="4" t="s">
        <v>34</v>
      </c>
      <c r="R510" s="2" t="s">
        <v>941</v>
      </c>
      <c r="S510" s="4" t="s">
        <v>51</v>
      </c>
      <c r="T510" s="2">
        <v>0.44</v>
      </c>
      <c r="U510" s="3">
        <v>40552</v>
      </c>
    </row>
    <row r="511" spans="1:21">
      <c r="A511" s="2">
        <v>2743</v>
      </c>
      <c r="B511" s="2">
        <v>19811</v>
      </c>
      <c r="C511" s="6">
        <v>40763</v>
      </c>
      <c r="D511" s="4" t="s">
        <v>14</v>
      </c>
      <c r="E511" s="2">
        <v>49</v>
      </c>
      <c r="F511" s="5">
        <v>450.66</v>
      </c>
      <c r="G511" s="5">
        <v>0.01</v>
      </c>
      <c r="H511" s="4" t="s">
        <v>64</v>
      </c>
      <c r="I511" s="5">
        <v>-115.1</v>
      </c>
      <c r="J511" s="2">
        <v>8.57</v>
      </c>
      <c r="K511" s="5">
        <v>6.14</v>
      </c>
      <c r="L511" s="4" t="s">
        <v>1116</v>
      </c>
      <c r="M511" s="4" t="s">
        <v>66</v>
      </c>
      <c r="N511" s="4" t="s">
        <v>66</v>
      </c>
      <c r="O511" s="4" t="s">
        <v>27</v>
      </c>
      <c r="P511" s="4" t="s">
        <v>19</v>
      </c>
      <c r="Q511" s="4" t="s">
        <v>28</v>
      </c>
      <c r="R511" s="2" t="s">
        <v>1055</v>
      </c>
      <c r="S511" s="4" t="s">
        <v>30</v>
      </c>
      <c r="T511" s="2">
        <v>0.59</v>
      </c>
      <c r="U511" s="3">
        <v>40768</v>
      </c>
    </row>
    <row r="512" spans="1:21">
      <c r="A512" s="2">
        <v>2780</v>
      </c>
      <c r="B512" s="2">
        <v>20068</v>
      </c>
      <c r="C512" s="6">
        <v>40602</v>
      </c>
      <c r="D512" s="4" t="s">
        <v>52</v>
      </c>
      <c r="E512" s="2">
        <v>9</v>
      </c>
      <c r="F512" s="5">
        <v>53.18</v>
      </c>
      <c r="G512" s="5">
        <v>0.09</v>
      </c>
      <c r="H512" s="4" t="s">
        <v>15</v>
      </c>
      <c r="I512" s="5">
        <v>-46.13</v>
      </c>
      <c r="J512" s="2">
        <v>5.53</v>
      </c>
      <c r="K512" s="5">
        <v>6.98</v>
      </c>
      <c r="L512" s="4" t="s">
        <v>1117</v>
      </c>
      <c r="M512" s="4" t="s">
        <v>66</v>
      </c>
      <c r="N512" s="4" t="s">
        <v>66</v>
      </c>
      <c r="O512" s="4" t="s">
        <v>54</v>
      </c>
      <c r="P512" s="4" t="s">
        <v>19</v>
      </c>
      <c r="Q512" s="4" t="s">
        <v>111</v>
      </c>
      <c r="R512" s="2" t="s">
        <v>961</v>
      </c>
      <c r="S512" s="4" t="s">
        <v>51</v>
      </c>
      <c r="T512" s="2">
        <v>0.39</v>
      </c>
      <c r="U512" s="3">
        <v>40603</v>
      </c>
    </row>
    <row r="513" spans="1:21">
      <c r="A513" s="2">
        <v>2796</v>
      </c>
      <c r="B513" s="2">
        <v>20160</v>
      </c>
      <c r="C513" s="6">
        <v>40838</v>
      </c>
      <c r="D513" s="4" t="s">
        <v>14</v>
      </c>
      <c r="E513" s="2">
        <v>42</v>
      </c>
      <c r="F513" s="5">
        <v>435.24</v>
      </c>
      <c r="G513" s="5">
        <v>0.08</v>
      </c>
      <c r="H513" s="4" t="s">
        <v>64</v>
      </c>
      <c r="I513" s="5">
        <v>174.89</v>
      </c>
      <c r="J513" s="2">
        <v>10.31</v>
      </c>
      <c r="K513" s="5">
        <v>1.79</v>
      </c>
      <c r="L513" s="4" t="s">
        <v>1118</v>
      </c>
      <c r="M513" s="4" t="s">
        <v>926</v>
      </c>
      <c r="N513" s="4" t="s">
        <v>926</v>
      </c>
      <c r="O513" s="4" t="s">
        <v>18</v>
      </c>
      <c r="P513" s="4" t="s">
        <v>19</v>
      </c>
      <c r="Q513" s="4" t="s">
        <v>78</v>
      </c>
      <c r="R513" s="2" t="s">
        <v>717</v>
      </c>
      <c r="S513" s="4" t="s">
        <v>50</v>
      </c>
      <c r="T513" s="2">
        <v>0.38</v>
      </c>
      <c r="U513" s="3">
        <v>40840</v>
      </c>
    </row>
    <row r="514" spans="1:21">
      <c r="A514" s="2">
        <v>2800</v>
      </c>
      <c r="B514" s="2">
        <v>20193</v>
      </c>
      <c r="C514" s="6">
        <v>40489</v>
      </c>
      <c r="D514" s="4" t="s">
        <v>72</v>
      </c>
      <c r="E514" s="2">
        <v>23</v>
      </c>
      <c r="F514" s="5">
        <v>82.12</v>
      </c>
      <c r="G514" s="5">
        <v>7.0000000000000007E-2</v>
      </c>
      <c r="H514" s="4" t="s">
        <v>15</v>
      </c>
      <c r="I514" s="5">
        <v>-121.59</v>
      </c>
      <c r="J514" s="2">
        <v>3.52</v>
      </c>
      <c r="K514" s="5">
        <v>6.83</v>
      </c>
      <c r="L514" s="4" t="s">
        <v>1119</v>
      </c>
      <c r="M514" s="4" t="s">
        <v>25</v>
      </c>
      <c r="N514" s="4" t="s">
        <v>26</v>
      </c>
      <c r="O514" s="4" t="s">
        <v>27</v>
      </c>
      <c r="P514" s="4" t="s">
        <v>19</v>
      </c>
      <c r="Q514" s="4" t="s">
        <v>111</v>
      </c>
      <c r="R514" s="2" t="s">
        <v>1094</v>
      </c>
      <c r="S514" s="4" t="s">
        <v>51</v>
      </c>
      <c r="T514" s="2">
        <v>0.38</v>
      </c>
      <c r="U514" s="3">
        <v>40491</v>
      </c>
    </row>
    <row r="515" spans="1:21">
      <c r="A515" s="2">
        <v>2831</v>
      </c>
      <c r="B515" s="2">
        <v>20448</v>
      </c>
      <c r="C515" s="6">
        <v>40757</v>
      </c>
      <c r="D515" s="4" t="s">
        <v>52</v>
      </c>
      <c r="E515" s="2">
        <v>23</v>
      </c>
      <c r="F515" s="5">
        <v>104.82</v>
      </c>
      <c r="G515" s="5">
        <v>0.02</v>
      </c>
      <c r="H515" s="4" t="s">
        <v>64</v>
      </c>
      <c r="I515" s="5">
        <v>6.84</v>
      </c>
      <c r="J515" s="2">
        <v>3.69</v>
      </c>
      <c r="K515" s="5">
        <v>2.5</v>
      </c>
      <c r="L515" s="4" t="s">
        <v>1120</v>
      </c>
      <c r="M515" s="4" t="s">
        <v>47</v>
      </c>
      <c r="N515" s="4" t="s">
        <v>26</v>
      </c>
      <c r="O515" s="4" t="s">
        <v>27</v>
      </c>
      <c r="P515" s="4" t="s">
        <v>19</v>
      </c>
      <c r="Q515" s="4" t="s">
        <v>128</v>
      </c>
      <c r="R515" s="2" t="s">
        <v>1096</v>
      </c>
      <c r="S515" s="4" t="s">
        <v>51</v>
      </c>
      <c r="T515" s="2">
        <v>0.39</v>
      </c>
      <c r="U515" s="3">
        <v>40758</v>
      </c>
    </row>
    <row r="516" spans="1:21">
      <c r="A516" s="2">
        <v>2839</v>
      </c>
      <c r="B516" s="2">
        <v>20455</v>
      </c>
      <c r="C516" s="6">
        <v>40357</v>
      </c>
      <c r="D516" s="4" t="s">
        <v>52</v>
      </c>
      <c r="E516" s="2">
        <v>7</v>
      </c>
      <c r="F516" s="5">
        <v>381.1995</v>
      </c>
      <c r="G516" s="5">
        <v>0.08</v>
      </c>
      <c r="H516" s="4" t="s">
        <v>64</v>
      </c>
      <c r="I516" s="5">
        <v>-233.56</v>
      </c>
      <c r="J516" s="2">
        <v>65.989999999999995</v>
      </c>
      <c r="K516" s="5">
        <v>8.99</v>
      </c>
      <c r="L516" s="4" t="s">
        <v>1121</v>
      </c>
      <c r="M516" s="4" t="s">
        <v>85</v>
      </c>
      <c r="N516" s="4" t="s">
        <v>86</v>
      </c>
      <c r="O516" s="4" t="s">
        <v>27</v>
      </c>
      <c r="P516" s="4" t="s">
        <v>40</v>
      </c>
      <c r="Q516" s="4" t="s">
        <v>41</v>
      </c>
      <c r="R516" s="2" t="s">
        <v>931</v>
      </c>
      <c r="S516" s="4" t="s">
        <v>51</v>
      </c>
      <c r="T516" s="2">
        <v>0.57999999999999996</v>
      </c>
      <c r="U516" s="3">
        <v>40358</v>
      </c>
    </row>
    <row r="517" spans="1:21">
      <c r="A517" s="2">
        <v>2855</v>
      </c>
      <c r="B517" s="2">
        <v>20549</v>
      </c>
      <c r="C517" s="6">
        <v>39825</v>
      </c>
      <c r="D517" s="4" t="s">
        <v>23</v>
      </c>
      <c r="E517" s="2">
        <v>40</v>
      </c>
      <c r="F517" s="5">
        <v>1030.0899999999999</v>
      </c>
      <c r="G517" s="5">
        <v>0.09</v>
      </c>
      <c r="H517" s="4" t="s">
        <v>15</v>
      </c>
      <c r="I517" s="5">
        <v>-568.71</v>
      </c>
      <c r="J517" s="2">
        <v>27.75</v>
      </c>
      <c r="K517" s="5">
        <v>19.989999999999998</v>
      </c>
      <c r="L517" s="4" t="s">
        <v>1122</v>
      </c>
      <c r="M517" s="4" t="s">
        <v>43</v>
      </c>
      <c r="N517" s="4" t="s">
        <v>44</v>
      </c>
      <c r="O517" s="4" t="s">
        <v>27</v>
      </c>
      <c r="P517" s="4" t="s">
        <v>19</v>
      </c>
      <c r="Q517" s="4" t="s">
        <v>20</v>
      </c>
      <c r="R517" s="2" t="s">
        <v>843</v>
      </c>
      <c r="S517" s="4" t="s">
        <v>51</v>
      </c>
      <c r="T517" s="2">
        <v>0.67</v>
      </c>
      <c r="U517" s="3">
        <v>39826</v>
      </c>
    </row>
    <row r="518" spans="1:21">
      <c r="A518" s="2">
        <v>2912</v>
      </c>
      <c r="B518" s="2">
        <v>21024</v>
      </c>
      <c r="C518" s="6">
        <v>40540</v>
      </c>
      <c r="D518" s="4" t="s">
        <v>72</v>
      </c>
      <c r="E518" s="2">
        <v>34</v>
      </c>
      <c r="F518" s="5">
        <v>195.49</v>
      </c>
      <c r="G518" s="5">
        <v>0.05</v>
      </c>
      <c r="H518" s="4" t="s">
        <v>15</v>
      </c>
      <c r="I518" s="5">
        <v>33.799999999999997</v>
      </c>
      <c r="J518" s="2">
        <v>5.84</v>
      </c>
      <c r="K518" s="5">
        <v>1.2</v>
      </c>
      <c r="L518" s="4" t="s">
        <v>1124</v>
      </c>
      <c r="M518" s="4" t="s">
        <v>47</v>
      </c>
      <c r="N518" s="4" t="s">
        <v>26</v>
      </c>
      <c r="O518" s="4" t="s">
        <v>27</v>
      </c>
      <c r="P518" s="4" t="s">
        <v>19</v>
      </c>
      <c r="Q518" s="4" t="s">
        <v>48</v>
      </c>
      <c r="R518" s="2" t="s">
        <v>927</v>
      </c>
      <c r="S518" s="4" t="s">
        <v>50</v>
      </c>
      <c r="T518" s="2">
        <v>0.55000000000000004</v>
      </c>
      <c r="U518" s="3">
        <v>40542</v>
      </c>
    </row>
    <row r="519" spans="1:21">
      <c r="A519" s="2">
        <v>2956</v>
      </c>
      <c r="B519" s="2">
        <v>21383</v>
      </c>
      <c r="C519" s="6">
        <v>39843</v>
      </c>
      <c r="D519" s="4" t="s">
        <v>14</v>
      </c>
      <c r="E519" s="2">
        <v>31</v>
      </c>
      <c r="F519" s="5">
        <v>16066.85</v>
      </c>
      <c r="G519" s="5">
        <v>7.0000000000000007E-2</v>
      </c>
      <c r="H519" s="4" t="s">
        <v>15</v>
      </c>
      <c r="I519" s="5">
        <v>7416.43</v>
      </c>
      <c r="J519" s="2">
        <v>574.74</v>
      </c>
      <c r="K519" s="5">
        <v>24.49</v>
      </c>
      <c r="L519" s="4" t="s">
        <v>1125</v>
      </c>
      <c r="M519" s="4" t="s">
        <v>926</v>
      </c>
      <c r="N519" s="4" t="s">
        <v>926</v>
      </c>
      <c r="O519" s="4" t="s">
        <v>60</v>
      </c>
      <c r="P519" s="4" t="s">
        <v>40</v>
      </c>
      <c r="Q519" s="4" t="s">
        <v>81</v>
      </c>
      <c r="R519" s="2" t="s">
        <v>949</v>
      </c>
      <c r="S519" s="4" t="s">
        <v>22</v>
      </c>
      <c r="T519" s="2">
        <v>0.37</v>
      </c>
      <c r="U519" s="3">
        <v>39848</v>
      </c>
    </row>
    <row r="520" spans="1:21">
      <c r="A520" s="2">
        <v>2984</v>
      </c>
      <c r="B520" s="2">
        <v>21542</v>
      </c>
      <c r="C520" s="6">
        <v>40684</v>
      </c>
      <c r="D520" s="4" t="s">
        <v>31</v>
      </c>
      <c r="E520" s="2">
        <v>18</v>
      </c>
      <c r="F520" s="5">
        <v>404.3</v>
      </c>
      <c r="G520" s="5">
        <v>0.04</v>
      </c>
      <c r="H520" s="4" t="s">
        <v>15</v>
      </c>
      <c r="I520" s="5">
        <v>-27.34</v>
      </c>
      <c r="J520" s="2">
        <v>21.38</v>
      </c>
      <c r="K520" s="5">
        <v>8.99</v>
      </c>
      <c r="L520" s="4" t="s">
        <v>1126</v>
      </c>
      <c r="M520" s="4" t="s">
        <v>199</v>
      </c>
      <c r="N520" s="4" t="s">
        <v>86</v>
      </c>
      <c r="O520" s="4" t="s">
        <v>27</v>
      </c>
      <c r="P520" s="4" t="s">
        <v>19</v>
      </c>
      <c r="Q520" s="4" t="s">
        <v>48</v>
      </c>
      <c r="R520" s="2" t="s">
        <v>683</v>
      </c>
      <c r="S520" s="4" t="s">
        <v>30</v>
      </c>
      <c r="T520" s="2">
        <v>0.59</v>
      </c>
      <c r="U520" s="3">
        <v>40685</v>
      </c>
    </row>
    <row r="521" spans="1:21">
      <c r="A521" s="2">
        <v>3008</v>
      </c>
      <c r="B521" s="2">
        <v>21639</v>
      </c>
      <c r="C521" s="6">
        <v>40576</v>
      </c>
      <c r="D521" s="4" t="s">
        <v>23</v>
      </c>
      <c r="E521" s="2">
        <v>24</v>
      </c>
      <c r="F521" s="5">
        <v>145.15</v>
      </c>
      <c r="G521" s="5">
        <v>7.0000000000000007E-2</v>
      </c>
      <c r="H521" s="4" t="s">
        <v>15</v>
      </c>
      <c r="I521" s="5">
        <v>-169.17</v>
      </c>
      <c r="J521" s="2">
        <v>5.94</v>
      </c>
      <c r="K521" s="5">
        <v>9.92</v>
      </c>
      <c r="L521" s="4" t="s">
        <v>1127</v>
      </c>
      <c r="M521" s="4" t="s">
        <v>74</v>
      </c>
      <c r="N521" s="4" t="s">
        <v>74</v>
      </c>
      <c r="O521" s="4" t="s">
        <v>54</v>
      </c>
      <c r="P521" s="4" t="s">
        <v>19</v>
      </c>
      <c r="Q521" s="4" t="s">
        <v>111</v>
      </c>
      <c r="R521" s="2" t="s">
        <v>1107</v>
      </c>
      <c r="S521" s="4" t="s">
        <v>51</v>
      </c>
      <c r="T521" s="2">
        <v>0.38</v>
      </c>
      <c r="U521" s="3">
        <v>40578</v>
      </c>
    </row>
    <row r="522" spans="1:21">
      <c r="A522" s="2">
        <v>3058</v>
      </c>
      <c r="B522" s="2">
        <v>21894</v>
      </c>
      <c r="C522" s="6">
        <v>40895</v>
      </c>
      <c r="D522" s="4" t="s">
        <v>52</v>
      </c>
      <c r="E522" s="2">
        <v>6</v>
      </c>
      <c r="F522" s="5">
        <v>54.3</v>
      </c>
      <c r="G522" s="5">
        <v>0.1</v>
      </c>
      <c r="H522" s="4" t="s">
        <v>15</v>
      </c>
      <c r="I522" s="5">
        <v>1.27</v>
      </c>
      <c r="J522" s="2">
        <v>9.68</v>
      </c>
      <c r="K522" s="5">
        <v>2.0299999999999998</v>
      </c>
      <c r="L522" s="4" t="s">
        <v>1128</v>
      </c>
      <c r="M522" s="4" t="s">
        <v>70</v>
      </c>
      <c r="N522" s="4" t="s">
        <v>44</v>
      </c>
      <c r="O522" s="4" t="s">
        <v>60</v>
      </c>
      <c r="P522" s="4" t="s">
        <v>19</v>
      </c>
      <c r="Q522" s="4" t="s">
        <v>78</v>
      </c>
      <c r="R522" s="2" t="s">
        <v>750</v>
      </c>
      <c r="S522" s="4" t="s">
        <v>50</v>
      </c>
      <c r="T522" s="2">
        <v>0.37</v>
      </c>
      <c r="U522" s="3">
        <v>40897</v>
      </c>
    </row>
    <row r="523" spans="1:21">
      <c r="A523" s="2">
        <v>3148</v>
      </c>
      <c r="B523" s="2">
        <v>22563</v>
      </c>
      <c r="C523" s="6">
        <v>41049</v>
      </c>
      <c r="D523" s="4" t="s">
        <v>52</v>
      </c>
      <c r="E523" s="2">
        <v>32</v>
      </c>
      <c r="F523" s="5">
        <v>251.51</v>
      </c>
      <c r="G523" s="5">
        <v>0.06</v>
      </c>
      <c r="H523" s="4" t="s">
        <v>15</v>
      </c>
      <c r="I523" s="5">
        <v>-9.7799999999999994</v>
      </c>
      <c r="J523" s="2">
        <v>7.7</v>
      </c>
      <c r="K523" s="5">
        <v>3.68</v>
      </c>
      <c r="L523" s="4" t="s">
        <v>1130</v>
      </c>
      <c r="M523" s="4" t="s">
        <v>25</v>
      </c>
      <c r="N523" s="4" t="s">
        <v>26</v>
      </c>
      <c r="O523" s="4" t="s">
        <v>54</v>
      </c>
      <c r="P523" s="4" t="s">
        <v>33</v>
      </c>
      <c r="Q523" s="4" t="s">
        <v>34</v>
      </c>
      <c r="R523" s="2" t="s">
        <v>700</v>
      </c>
      <c r="S523" s="4" t="s">
        <v>50</v>
      </c>
      <c r="T523" s="2">
        <v>0.52</v>
      </c>
      <c r="U523" s="3">
        <v>41052</v>
      </c>
    </row>
    <row r="524" spans="1:21">
      <c r="A524" s="2">
        <v>3187</v>
      </c>
      <c r="B524" s="2">
        <v>22880</v>
      </c>
      <c r="C524" s="6">
        <v>40328</v>
      </c>
      <c r="D524" s="4" t="s">
        <v>72</v>
      </c>
      <c r="E524" s="2">
        <v>13</v>
      </c>
      <c r="F524" s="5">
        <v>24.96</v>
      </c>
      <c r="G524" s="5">
        <v>0.01</v>
      </c>
      <c r="H524" s="4" t="s">
        <v>15</v>
      </c>
      <c r="I524" s="5">
        <v>-20.68</v>
      </c>
      <c r="J524" s="2">
        <v>1.7</v>
      </c>
      <c r="K524" s="5">
        <v>1.99</v>
      </c>
      <c r="L524" s="4" t="s">
        <v>1131</v>
      </c>
      <c r="M524" s="4" t="s">
        <v>85</v>
      </c>
      <c r="N524" s="4" t="s">
        <v>86</v>
      </c>
      <c r="O524" s="4" t="s">
        <v>18</v>
      </c>
      <c r="P524" s="4" t="s">
        <v>40</v>
      </c>
      <c r="Q524" s="4" t="s">
        <v>45</v>
      </c>
      <c r="R524" s="2" t="s">
        <v>1091</v>
      </c>
      <c r="S524" s="4" t="s">
        <v>30</v>
      </c>
      <c r="T524" s="2">
        <v>0.51</v>
      </c>
      <c r="U524" s="3">
        <v>40331</v>
      </c>
    </row>
    <row r="525" spans="1:21">
      <c r="A525" s="2">
        <v>3485</v>
      </c>
      <c r="B525" s="2">
        <v>24802</v>
      </c>
      <c r="C525" s="6">
        <v>39836</v>
      </c>
      <c r="D525" s="4" t="s">
        <v>72</v>
      </c>
      <c r="E525" s="2">
        <v>18</v>
      </c>
      <c r="F525" s="5">
        <v>1383.2</v>
      </c>
      <c r="G525" s="5">
        <v>0.01</v>
      </c>
      <c r="H525" s="4" t="s">
        <v>15</v>
      </c>
      <c r="I525" s="5">
        <v>-23.44</v>
      </c>
      <c r="J525" s="2">
        <v>73.98</v>
      </c>
      <c r="K525" s="5">
        <v>12.14</v>
      </c>
      <c r="L525" s="4" t="s">
        <v>1132</v>
      </c>
      <c r="M525" s="4" t="s">
        <v>25</v>
      </c>
      <c r="N525" s="4" t="s">
        <v>26</v>
      </c>
      <c r="O525" s="4" t="s">
        <v>18</v>
      </c>
      <c r="P525" s="4" t="s">
        <v>40</v>
      </c>
      <c r="Q525" s="4" t="s">
        <v>45</v>
      </c>
      <c r="R525" s="2" t="s">
        <v>425</v>
      </c>
      <c r="S525" s="4" t="s">
        <v>51</v>
      </c>
      <c r="T525" s="2">
        <v>0.67</v>
      </c>
      <c r="U525" s="3">
        <v>39838</v>
      </c>
    </row>
    <row r="526" spans="1:21">
      <c r="A526" s="2">
        <v>3512</v>
      </c>
      <c r="B526" s="2">
        <v>25028</v>
      </c>
      <c r="C526" s="6">
        <v>40548</v>
      </c>
      <c r="D526" s="4" t="s">
        <v>52</v>
      </c>
      <c r="E526" s="2">
        <v>5</v>
      </c>
      <c r="F526" s="5">
        <v>477.39</v>
      </c>
      <c r="G526" s="5">
        <v>0.02</v>
      </c>
      <c r="H526" s="4" t="s">
        <v>37</v>
      </c>
      <c r="I526" s="5">
        <v>-211.36</v>
      </c>
      <c r="J526" s="2">
        <v>81.94</v>
      </c>
      <c r="K526" s="5">
        <v>55.81</v>
      </c>
      <c r="L526" s="4" t="s">
        <v>1133</v>
      </c>
      <c r="M526" s="4" t="s">
        <v>25</v>
      </c>
      <c r="N526" s="4" t="s">
        <v>26</v>
      </c>
      <c r="O526" s="4" t="s">
        <v>54</v>
      </c>
      <c r="P526" s="4" t="s">
        <v>33</v>
      </c>
      <c r="Q526" s="4" t="s">
        <v>87</v>
      </c>
      <c r="R526" s="2" t="s">
        <v>876</v>
      </c>
      <c r="S526" s="4" t="s">
        <v>39</v>
      </c>
      <c r="T526" s="2">
        <v>0.6</v>
      </c>
      <c r="U526" s="3">
        <v>40549</v>
      </c>
    </row>
    <row r="527" spans="1:21">
      <c r="A527" s="2">
        <v>3519</v>
      </c>
      <c r="B527" s="2">
        <v>25061</v>
      </c>
      <c r="C527" s="6">
        <v>40895</v>
      </c>
      <c r="D527" s="4" t="s">
        <v>72</v>
      </c>
      <c r="E527" s="2">
        <v>20</v>
      </c>
      <c r="F527" s="5">
        <v>941.13</v>
      </c>
      <c r="G527" s="5">
        <v>0.1</v>
      </c>
      <c r="H527" s="4" t="s">
        <v>15</v>
      </c>
      <c r="I527" s="5">
        <v>344.95</v>
      </c>
      <c r="J527" s="2">
        <v>48.04</v>
      </c>
      <c r="K527" s="5">
        <v>7.23</v>
      </c>
      <c r="L527" s="4" t="s">
        <v>1134</v>
      </c>
      <c r="M527" s="4" t="s">
        <v>57</v>
      </c>
      <c r="N527" s="4" t="s">
        <v>57</v>
      </c>
      <c r="O527" s="4" t="s">
        <v>54</v>
      </c>
      <c r="P527" s="4" t="s">
        <v>19</v>
      </c>
      <c r="Q527" s="4" t="s">
        <v>78</v>
      </c>
      <c r="R527" s="2" t="s">
        <v>643</v>
      </c>
      <c r="S527" s="4" t="s">
        <v>51</v>
      </c>
      <c r="T527" s="2">
        <v>0.37</v>
      </c>
      <c r="U527" s="3">
        <v>40897</v>
      </c>
    </row>
    <row r="528" spans="1:21">
      <c r="A528" s="2">
        <v>3562</v>
      </c>
      <c r="B528" s="2">
        <v>25412</v>
      </c>
      <c r="C528" s="6">
        <v>40700</v>
      </c>
      <c r="D528" s="4" t="s">
        <v>23</v>
      </c>
      <c r="E528" s="2">
        <v>18</v>
      </c>
      <c r="F528" s="5">
        <v>129.77000000000001</v>
      </c>
      <c r="G528" s="5">
        <v>0.01</v>
      </c>
      <c r="H528" s="4" t="s">
        <v>15</v>
      </c>
      <c r="I528" s="5">
        <v>-99.42</v>
      </c>
      <c r="J528" s="2">
        <v>6.48</v>
      </c>
      <c r="K528" s="5">
        <v>9.68</v>
      </c>
      <c r="L528" s="4" t="s">
        <v>1135</v>
      </c>
      <c r="M528" s="4" t="s">
        <v>25</v>
      </c>
      <c r="N528" s="4" t="s">
        <v>26</v>
      </c>
      <c r="O528" s="4" t="s">
        <v>27</v>
      </c>
      <c r="P528" s="4" t="s">
        <v>19</v>
      </c>
      <c r="Q528" s="4" t="s">
        <v>78</v>
      </c>
      <c r="R528" s="2" t="s">
        <v>1076</v>
      </c>
      <c r="S528" s="4" t="s">
        <v>51</v>
      </c>
      <c r="T528" s="2">
        <v>0.36</v>
      </c>
      <c r="U528" s="3">
        <v>40702</v>
      </c>
    </row>
    <row r="529" spans="1:21">
      <c r="A529" s="2">
        <v>3591</v>
      </c>
      <c r="B529" s="2">
        <v>25634</v>
      </c>
      <c r="C529" s="6">
        <v>40388</v>
      </c>
      <c r="D529" s="4" t="s">
        <v>23</v>
      </c>
      <c r="E529" s="2">
        <v>29</v>
      </c>
      <c r="F529" s="5">
        <v>593.32000000000005</v>
      </c>
      <c r="G529" s="5">
        <v>0.03</v>
      </c>
      <c r="H529" s="4" t="s">
        <v>15</v>
      </c>
      <c r="I529" s="5">
        <v>28.99</v>
      </c>
      <c r="J529" s="2">
        <v>20.95</v>
      </c>
      <c r="K529" s="5">
        <v>4</v>
      </c>
      <c r="L529" s="4" t="s">
        <v>1136</v>
      </c>
      <c r="M529" s="4" t="s">
        <v>926</v>
      </c>
      <c r="N529" s="4" t="s">
        <v>926</v>
      </c>
      <c r="O529" s="4" t="s">
        <v>27</v>
      </c>
      <c r="P529" s="4" t="s">
        <v>40</v>
      </c>
      <c r="Q529" s="4" t="s">
        <v>45</v>
      </c>
      <c r="R529" s="2" t="s">
        <v>860</v>
      </c>
      <c r="S529" s="4" t="s">
        <v>51</v>
      </c>
      <c r="T529" s="2">
        <v>0.6</v>
      </c>
      <c r="U529" s="3">
        <v>40391</v>
      </c>
    </row>
    <row r="530" spans="1:21">
      <c r="A530" s="2">
        <v>3641</v>
      </c>
      <c r="B530" s="2">
        <v>26023</v>
      </c>
      <c r="C530" s="6">
        <v>40410</v>
      </c>
      <c r="D530" s="4" t="s">
        <v>31</v>
      </c>
      <c r="E530" s="2">
        <v>49</v>
      </c>
      <c r="F530" s="5">
        <v>120.77</v>
      </c>
      <c r="G530" s="5">
        <v>0.03</v>
      </c>
      <c r="H530" s="4" t="s">
        <v>15</v>
      </c>
      <c r="I530" s="5">
        <v>19.86</v>
      </c>
      <c r="J530" s="2">
        <v>2.4700000000000002</v>
      </c>
      <c r="K530" s="5">
        <v>1.02</v>
      </c>
      <c r="L530" s="4" t="s">
        <v>1137</v>
      </c>
      <c r="M530" s="4" t="s">
        <v>926</v>
      </c>
      <c r="N530" s="4" t="s">
        <v>926</v>
      </c>
      <c r="O530" s="4" t="s">
        <v>27</v>
      </c>
      <c r="P530" s="4" t="s">
        <v>19</v>
      </c>
      <c r="Q530" s="4" t="s">
        <v>67</v>
      </c>
      <c r="R530" s="2" t="s">
        <v>1138</v>
      </c>
      <c r="S530" s="4" t="s">
        <v>50</v>
      </c>
      <c r="T530" s="2">
        <v>0.38</v>
      </c>
      <c r="U530" s="3">
        <v>40411</v>
      </c>
    </row>
    <row r="531" spans="1:21">
      <c r="A531" s="2">
        <v>3664</v>
      </c>
      <c r="B531" s="2">
        <v>26243</v>
      </c>
      <c r="C531" s="6">
        <v>40740</v>
      </c>
      <c r="D531" s="4" t="s">
        <v>14</v>
      </c>
      <c r="E531" s="2">
        <v>42</v>
      </c>
      <c r="F531" s="5">
        <v>71.319999999999993</v>
      </c>
      <c r="G531" s="5">
        <v>0.08</v>
      </c>
      <c r="H531" s="4" t="s">
        <v>15</v>
      </c>
      <c r="I531" s="5">
        <v>-4.9000000000000004</v>
      </c>
      <c r="J531" s="2">
        <v>1.82</v>
      </c>
      <c r="K531" s="5">
        <v>1</v>
      </c>
      <c r="L531" s="4" t="s">
        <v>1139</v>
      </c>
      <c r="M531" s="4" t="s">
        <v>294</v>
      </c>
      <c r="N531" s="4" t="s">
        <v>86</v>
      </c>
      <c r="O531" s="4" t="s">
        <v>27</v>
      </c>
      <c r="P531" s="4" t="s">
        <v>19</v>
      </c>
      <c r="Q531" s="4" t="s">
        <v>48</v>
      </c>
      <c r="R531" s="2" t="s">
        <v>554</v>
      </c>
      <c r="S531" s="4" t="s">
        <v>50</v>
      </c>
      <c r="T531" s="2">
        <v>0.4</v>
      </c>
      <c r="U531" s="3">
        <v>40744</v>
      </c>
    </row>
    <row r="532" spans="1:21">
      <c r="A532" s="2">
        <v>3827</v>
      </c>
      <c r="B532" s="2">
        <v>27298</v>
      </c>
      <c r="C532" s="6">
        <v>40866</v>
      </c>
      <c r="D532" s="4" t="s">
        <v>14</v>
      </c>
      <c r="E532" s="2">
        <v>40</v>
      </c>
      <c r="F532" s="5">
        <v>7813.7</v>
      </c>
      <c r="G532" s="5">
        <v>0.09</v>
      </c>
      <c r="H532" s="4" t="s">
        <v>15</v>
      </c>
      <c r="I532" s="5">
        <v>2154.33</v>
      </c>
      <c r="J532" s="2">
        <v>199.99</v>
      </c>
      <c r="K532" s="5">
        <v>24.49</v>
      </c>
      <c r="L532" s="4" t="s">
        <v>1140</v>
      </c>
      <c r="M532" s="4" t="s">
        <v>47</v>
      </c>
      <c r="N532" s="4" t="s">
        <v>26</v>
      </c>
      <c r="O532" s="4" t="s">
        <v>18</v>
      </c>
      <c r="P532" s="4" t="s">
        <v>40</v>
      </c>
      <c r="Q532" s="4" t="s">
        <v>339</v>
      </c>
      <c r="R532" s="2" t="s">
        <v>1123</v>
      </c>
      <c r="S532" s="4" t="s">
        <v>22</v>
      </c>
      <c r="T532" s="2">
        <v>0.46</v>
      </c>
      <c r="U532" s="3">
        <v>40870</v>
      </c>
    </row>
    <row r="533" spans="1:21">
      <c r="A533" s="2">
        <v>3882</v>
      </c>
      <c r="B533" s="2">
        <v>27744</v>
      </c>
      <c r="C533" s="6">
        <v>40393</v>
      </c>
      <c r="D533" s="4" t="s">
        <v>52</v>
      </c>
      <c r="E533" s="2">
        <v>22</v>
      </c>
      <c r="F533" s="5">
        <v>106.69</v>
      </c>
      <c r="G533" s="5">
        <v>0.01</v>
      </c>
      <c r="H533" s="4" t="s">
        <v>15</v>
      </c>
      <c r="I533" s="5">
        <v>-76.599999999999994</v>
      </c>
      <c r="J533" s="2">
        <v>4.54</v>
      </c>
      <c r="K533" s="5">
        <v>5.83</v>
      </c>
      <c r="L533" s="4" t="s">
        <v>1141</v>
      </c>
      <c r="M533" s="4" t="s">
        <v>74</v>
      </c>
      <c r="N533" s="4" t="s">
        <v>74</v>
      </c>
      <c r="O533" s="4" t="s">
        <v>27</v>
      </c>
      <c r="P533" s="4" t="s">
        <v>19</v>
      </c>
      <c r="Q533" s="4" t="s">
        <v>111</v>
      </c>
      <c r="R533" s="2" t="s">
        <v>1075</v>
      </c>
      <c r="S533" s="4" t="s">
        <v>51</v>
      </c>
      <c r="T533" s="2">
        <v>0.36</v>
      </c>
      <c r="U533" s="3">
        <v>40394</v>
      </c>
    </row>
    <row r="534" spans="1:21">
      <c r="A534" s="2">
        <v>3910</v>
      </c>
      <c r="B534" s="2">
        <v>27876</v>
      </c>
      <c r="C534" s="6">
        <v>40428</v>
      </c>
      <c r="D534" s="4" t="s">
        <v>14</v>
      </c>
      <c r="E534" s="2">
        <v>44</v>
      </c>
      <c r="F534" s="5">
        <v>777.63</v>
      </c>
      <c r="G534" s="5">
        <v>0.03</v>
      </c>
      <c r="H534" s="4" t="s">
        <v>15</v>
      </c>
      <c r="I534" s="5">
        <v>-70.540000000000006</v>
      </c>
      <c r="J534" s="2">
        <v>16.989999999999998</v>
      </c>
      <c r="K534" s="5">
        <v>8.99</v>
      </c>
      <c r="L534" s="4" t="s">
        <v>1142</v>
      </c>
      <c r="M534" s="4" t="s">
        <v>47</v>
      </c>
      <c r="N534" s="4" t="s">
        <v>26</v>
      </c>
      <c r="O534" s="4" t="s">
        <v>27</v>
      </c>
      <c r="P534" s="4" t="s">
        <v>19</v>
      </c>
      <c r="Q534" s="4" t="s">
        <v>48</v>
      </c>
      <c r="R534" s="2" t="s">
        <v>889</v>
      </c>
      <c r="S534" s="4" t="s">
        <v>30</v>
      </c>
      <c r="T534" s="2">
        <v>0.56000000000000005</v>
      </c>
      <c r="U534" s="3">
        <v>40435</v>
      </c>
    </row>
    <row r="535" spans="1:21">
      <c r="A535" s="2">
        <v>4028</v>
      </c>
      <c r="B535" s="2">
        <v>28772</v>
      </c>
      <c r="C535" s="6">
        <v>39850</v>
      </c>
      <c r="D535" s="4" t="s">
        <v>31</v>
      </c>
      <c r="E535" s="2">
        <v>16</v>
      </c>
      <c r="F535" s="5">
        <v>950.46400000000006</v>
      </c>
      <c r="G535" s="5">
        <v>0.02</v>
      </c>
      <c r="H535" s="4" t="s">
        <v>15</v>
      </c>
      <c r="I535" s="5">
        <v>-763.8</v>
      </c>
      <c r="J535" s="2">
        <v>71.37</v>
      </c>
      <c r="K535" s="5">
        <v>69</v>
      </c>
      <c r="L535" s="4" t="s">
        <v>1143</v>
      </c>
      <c r="M535" s="4" t="s">
        <v>43</v>
      </c>
      <c r="N535" s="4" t="s">
        <v>44</v>
      </c>
      <c r="O535" s="4" t="s">
        <v>18</v>
      </c>
      <c r="P535" s="4" t="s">
        <v>33</v>
      </c>
      <c r="Q535" s="4" t="s">
        <v>38</v>
      </c>
      <c r="R535" s="2" t="s">
        <v>292</v>
      </c>
      <c r="S535" s="4" t="s">
        <v>22</v>
      </c>
      <c r="T535" s="2">
        <v>0.68</v>
      </c>
      <c r="U535" s="3">
        <v>39851</v>
      </c>
    </row>
    <row r="536" spans="1:21">
      <c r="A536" s="2">
        <v>4157</v>
      </c>
      <c r="B536" s="2">
        <v>29504</v>
      </c>
      <c r="C536" s="6">
        <v>40444</v>
      </c>
      <c r="D536" s="4" t="s">
        <v>23</v>
      </c>
      <c r="E536" s="2">
        <v>20</v>
      </c>
      <c r="F536" s="5">
        <v>1485.06</v>
      </c>
      <c r="G536" s="5">
        <v>0.04</v>
      </c>
      <c r="H536" s="4" t="s">
        <v>37</v>
      </c>
      <c r="I536" s="5">
        <v>25.32</v>
      </c>
      <c r="J536" s="2">
        <v>70.98</v>
      </c>
      <c r="K536" s="5">
        <v>26.85</v>
      </c>
      <c r="L536" s="4" t="s">
        <v>1144</v>
      </c>
      <c r="M536" s="4" t="s">
        <v>258</v>
      </c>
      <c r="N536" s="4" t="s">
        <v>86</v>
      </c>
      <c r="O536" s="4" t="s">
        <v>18</v>
      </c>
      <c r="P536" s="4" t="s">
        <v>33</v>
      </c>
      <c r="Q536" s="4" t="s">
        <v>87</v>
      </c>
      <c r="R536" s="2" t="s">
        <v>1145</v>
      </c>
      <c r="S536" s="4" t="s">
        <v>39</v>
      </c>
      <c r="T536" s="2"/>
      <c r="U536" s="3">
        <v>40446</v>
      </c>
    </row>
    <row r="537" spans="1:21">
      <c r="A537" s="2">
        <v>4284</v>
      </c>
      <c r="B537" s="2">
        <v>30532</v>
      </c>
      <c r="C537" s="6">
        <v>40873</v>
      </c>
      <c r="D537" s="4" t="s">
        <v>31</v>
      </c>
      <c r="E537" s="2">
        <v>28</v>
      </c>
      <c r="F537" s="5">
        <v>431.37</v>
      </c>
      <c r="G537" s="5">
        <v>0.03</v>
      </c>
      <c r="H537" s="4" t="s">
        <v>15</v>
      </c>
      <c r="I537" s="5">
        <v>-28.67</v>
      </c>
      <c r="J537" s="2">
        <v>15.22</v>
      </c>
      <c r="K537" s="5">
        <v>9.73</v>
      </c>
      <c r="L537" s="4" t="s">
        <v>1147</v>
      </c>
      <c r="M537" s="4" t="s">
        <v>57</v>
      </c>
      <c r="N537" s="4" t="s">
        <v>57</v>
      </c>
      <c r="O537" s="4" t="s">
        <v>54</v>
      </c>
      <c r="P537" s="4" t="s">
        <v>19</v>
      </c>
      <c r="Q537" s="4" t="s">
        <v>111</v>
      </c>
      <c r="R537" s="2" t="s">
        <v>1019</v>
      </c>
      <c r="S537" s="4" t="s">
        <v>51</v>
      </c>
      <c r="T537" s="2">
        <v>0.36</v>
      </c>
      <c r="U537" s="3">
        <v>40874</v>
      </c>
    </row>
    <row r="538" spans="1:21">
      <c r="A538" s="2">
        <v>4303</v>
      </c>
      <c r="B538" s="2">
        <v>30657</v>
      </c>
      <c r="C538" s="6">
        <v>40673</v>
      </c>
      <c r="D538" s="4" t="s">
        <v>31</v>
      </c>
      <c r="E538" s="2">
        <v>6</v>
      </c>
      <c r="F538" s="5">
        <v>273.38</v>
      </c>
      <c r="G538" s="5">
        <v>0.06</v>
      </c>
      <c r="H538" s="4" t="s">
        <v>64</v>
      </c>
      <c r="I538" s="5">
        <v>-170.91</v>
      </c>
      <c r="J538" s="2">
        <v>43.22</v>
      </c>
      <c r="K538" s="5">
        <v>16.71</v>
      </c>
      <c r="L538" s="4" t="s">
        <v>1148</v>
      </c>
      <c r="M538" s="4" t="s">
        <v>43</v>
      </c>
      <c r="N538" s="4" t="s">
        <v>44</v>
      </c>
      <c r="O538" s="4" t="s">
        <v>27</v>
      </c>
      <c r="P538" s="4" t="s">
        <v>40</v>
      </c>
      <c r="Q538" s="4" t="s">
        <v>45</v>
      </c>
      <c r="R538" s="2" t="s">
        <v>948</v>
      </c>
      <c r="S538" s="4" t="s">
        <v>51</v>
      </c>
      <c r="T538" s="2">
        <v>0.66</v>
      </c>
      <c r="U538" s="3">
        <v>40674</v>
      </c>
    </row>
    <row r="539" spans="1:21">
      <c r="A539" s="2">
        <v>4386</v>
      </c>
      <c r="B539" s="2">
        <v>31237</v>
      </c>
      <c r="C539" s="6">
        <v>40753</v>
      </c>
      <c r="D539" s="4" t="s">
        <v>23</v>
      </c>
      <c r="E539" s="2">
        <v>13</v>
      </c>
      <c r="F539" s="5">
        <v>589.78</v>
      </c>
      <c r="G539" s="5">
        <v>0</v>
      </c>
      <c r="H539" s="4" t="s">
        <v>15</v>
      </c>
      <c r="I539" s="5">
        <v>225.26</v>
      </c>
      <c r="J539" s="2">
        <v>42.8</v>
      </c>
      <c r="K539" s="5">
        <v>2.99</v>
      </c>
      <c r="L539" s="4" t="s">
        <v>1149</v>
      </c>
      <c r="M539" s="4" t="s">
        <v>25</v>
      </c>
      <c r="N539" s="4" t="s">
        <v>26</v>
      </c>
      <c r="O539" s="4" t="s">
        <v>18</v>
      </c>
      <c r="P539" s="4" t="s">
        <v>19</v>
      </c>
      <c r="Q539" s="4" t="s">
        <v>111</v>
      </c>
      <c r="R539" s="2" t="s">
        <v>922</v>
      </c>
      <c r="S539" s="4" t="s">
        <v>51</v>
      </c>
      <c r="T539" s="2">
        <v>0.36</v>
      </c>
      <c r="U539" s="3">
        <v>40753</v>
      </c>
    </row>
    <row r="540" spans="1:21">
      <c r="A540" s="2">
        <v>4406</v>
      </c>
      <c r="B540" s="2">
        <v>31399</v>
      </c>
      <c r="C540" s="6">
        <v>40852</v>
      </c>
      <c r="D540" s="4" t="s">
        <v>23</v>
      </c>
      <c r="E540" s="2">
        <v>9</v>
      </c>
      <c r="F540" s="5">
        <v>337.20350000000002</v>
      </c>
      <c r="G540" s="5">
        <v>0.09</v>
      </c>
      <c r="H540" s="4" t="s">
        <v>15</v>
      </c>
      <c r="I540" s="5">
        <v>-120.93</v>
      </c>
      <c r="J540" s="2">
        <v>45.99</v>
      </c>
      <c r="K540" s="5">
        <v>4.99</v>
      </c>
      <c r="L540" s="4" t="s">
        <v>1150</v>
      </c>
      <c r="M540" s="4" t="s">
        <v>25</v>
      </c>
      <c r="N540" s="4" t="s">
        <v>26</v>
      </c>
      <c r="O540" s="4" t="s">
        <v>60</v>
      </c>
      <c r="P540" s="4" t="s">
        <v>40</v>
      </c>
      <c r="Q540" s="4" t="s">
        <v>41</v>
      </c>
      <c r="R540" s="2" t="s">
        <v>748</v>
      </c>
      <c r="S540" s="4" t="s">
        <v>51</v>
      </c>
      <c r="T540" s="2">
        <v>0.56000000000000005</v>
      </c>
      <c r="U540" s="3">
        <v>40853</v>
      </c>
    </row>
    <row r="541" spans="1:21">
      <c r="A541" s="2">
        <v>4512</v>
      </c>
      <c r="B541" s="2">
        <v>32102</v>
      </c>
      <c r="C541" s="6">
        <v>41257</v>
      </c>
      <c r="D541" s="4" t="s">
        <v>72</v>
      </c>
      <c r="E541" s="2">
        <v>2</v>
      </c>
      <c r="F541" s="5">
        <v>19.809999999999999</v>
      </c>
      <c r="G541" s="5">
        <v>0.02</v>
      </c>
      <c r="H541" s="4" t="s">
        <v>15</v>
      </c>
      <c r="I541" s="5">
        <v>-10.39</v>
      </c>
      <c r="J541" s="2">
        <v>6.48</v>
      </c>
      <c r="K541" s="5">
        <v>6.22</v>
      </c>
      <c r="L541" s="4" t="s">
        <v>1151</v>
      </c>
      <c r="M541" s="4" t="s">
        <v>66</v>
      </c>
      <c r="N541" s="4" t="s">
        <v>66</v>
      </c>
      <c r="O541" s="4" t="s">
        <v>54</v>
      </c>
      <c r="P541" s="4" t="s">
        <v>19</v>
      </c>
      <c r="Q541" s="4" t="s">
        <v>78</v>
      </c>
      <c r="R541" s="2" t="s">
        <v>893</v>
      </c>
      <c r="S541" s="4" t="s">
        <v>51</v>
      </c>
      <c r="T541" s="2">
        <v>0.37</v>
      </c>
      <c r="U541" s="3">
        <v>41259</v>
      </c>
    </row>
    <row r="542" spans="1:21">
      <c r="A542" s="2">
        <v>4536</v>
      </c>
      <c r="B542" s="2">
        <v>32291</v>
      </c>
      <c r="C542" s="6">
        <v>40122</v>
      </c>
      <c r="D542" s="4" t="s">
        <v>72</v>
      </c>
      <c r="E542" s="2">
        <v>13</v>
      </c>
      <c r="F542" s="5">
        <v>183.22</v>
      </c>
      <c r="G542" s="5">
        <v>0.01</v>
      </c>
      <c r="H542" s="4" t="s">
        <v>15</v>
      </c>
      <c r="I542" s="5">
        <v>-100.89</v>
      </c>
      <c r="J542" s="2">
        <v>12.99</v>
      </c>
      <c r="K542" s="5">
        <v>14.37</v>
      </c>
      <c r="L542" s="4" t="s">
        <v>1152</v>
      </c>
      <c r="M542" s="4" t="s">
        <v>47</v>
      </c>
      <c r="N542" s="4" t="s">
        <v>26</v>
      </c>
      <c r="O542" s="4" t="s">
        <v>18</v>
      </c>
      <c r="P542" s="4" t="s">
        <v>33</v>
      </c>
      <c r="Q542" s="4" t="s">
        <v>34</v>
      </c>
      <c r="R542" s="2" t="s">
        <v>1040</v>
      </c>
      <c r="S542" s="4" t="s">
        <v>22</v>
      </c>
      <c r="T542" s="2">
        <v>0.73</v>
      </c>
      <c r="U542" s="3">
        <v>40122</v>
      </c>
    </row>
    <row r="543" spans="1:21">
      <c r="A543" s="2">
        <v>4564</v>
      </c>
      <c r="B543" s="2">
        <v>32454</v>
      </c>
      <c r="C543" s="6">
        <v>40633</v>
      </c>
      <c r="D543" s="4" t="s">
        <v>52</v>
      </c>
      <c r="E543" s="2">
        <v>12</v>
      </c>
      <c r="F543" s="5">
        <v>83.89</v>
      </c>
      <c r="G543" s="5">
        <v>0.05</v>
      </c>
      <c r="H543" s="4" t="s">
        <v>15</v>
      </c>
      <c r="I543" s="5">
        <v>-29.59</v>
      </c>
      <c r="J543" s="2">
        <v>6.81</v>
      </c>
      <c r="K543" s="5">
        <v>5.48</v>
      </c>
      <c r="L543" s="4" t="s">
        <v>1153</v>
      </c>
      <c r="M543" s="4" t="s">
        <v>57</v>
      </c>
      <c r="N543" s="4" t="s">
        <v>57</v>
      </c>
      <c r="O543" s="4" t="s">
        <v>60</v>
      </c>
      <c r="P543" s="4" t="s">
        <v>19</v>
      </c>
      <c r="Q543" s="4" t="s">
        <v>111</v>
      </c>
      <c r="R543" s="2" t="s">
        <v>985</v>
      </c>
      <c r="S543" s="4" t="s">
        <v>51</v>
      </c>
      <c r="T543" s="2">
        <v>0.37</v>
      </c>
      <c r="U543" s="3">
        <v>40634</v>
      </c>
    </row>
    <row r="544" spans="1:21">
      <c r="A544" s="2">
        <v>4880</v>
      </c>
      <c r="B544" s="2">
        <v>34723</v>
      </c>
      <c r="C544" s="6">
        <v>41252</v>
      </c>
      <c r="D544" s="4" t="s">
        <v>72</v>
      </c>
      <c r="E544" s="2">
        <v>4</v>
      </c>
      <c r="F544" s="5">
        <v>6095.14</v>
      </c>
      <c r="G544" s="5">
        <v>0.06</v>
      </c>
      <c r="H544" s="4" t="s">
        <v>37</v>
      </c>
      <c r="I544" s="5">
        <v>-3001.28</v>
      </c>
      <c r="J544" s="2">
        <v>1500.97</v>
      </c>
      <c r="K544" s="5">
        <v>29.7</v>
      </c>
      <c r="L544" s="4" t="s">
        <v>1154</v>
      </c>
      <c r="M544" s="4" t="s">
        <v>43</v>
      </c>
      <c r="N544" s="4" t="s">
        <v>44</v>
      </c>
      <c r="O544" s="4" t="s">
        <v>18</v>
      </c>
      <c r="P544" s="4" t="s">
        <v>40</v>
      </c>
      <c r="Q544" s="4" t="s">
        <v>81</v>
      </c>
      <c r="R544" s="2" t="s">
        <v>897</v>
      </c>
      <c r="S544" s="4" t="s">
        <v>121</v>
      </c>
      <c r="T544" s="2">
        <v>0.56999999999999995</v>
      </c>
      <c r="U544" s="3">
        <v>41254</v>
      </c>
    </row>
    <row r="545" spans="1:21">
      <c r="A545" s="2">
        <v>4946</v>
      </c>
      <c r="B545" s="2">
        <v>35142</v>
      </c>
      <c r="C545" s="6">
        <v>40290</v>
      </c>
      <c r="D545" s="4" t="s">
        <v>14</v>
      </c>
      <c r="E545" s="2">
        <v>11</v>
      </c>
      <c r="F545" s="5">
        <v>231.27</v>
      </c>
      <c r="G545" s="5">
        <v>0.03</v>
      </c>
      <c r="H545" s="4" t="s">
        <v>15</v>
      </c>
      <c r="I545" s="5">
        <v>89.29</v>
      </c>
      <c r="J545" s="2">
        <v>20.239999999999998</v>
      </c>
      <c r="K545" s="5">
        <v>6.67</v>
      </c>
      <c r="L545" s="4" t="s">
        <v>1155</v>
      </c>
      <c r="M545" s="4" t="s">
        <v>57</v>
      </c>
      <c r="N545" s="4" t="s">
        <v>57</v>
      </c>
      <c r="O545" s="4" t="s">
        <v>27</v>
      </c>
      <c r="P545" s="4" t="s">
        <v>33</v>
      </c>
      <c r="Q545" s="4" t="s">
        <v>34</v>
      </c>
      <c r="R545" s="2" t="s">
        <v>691</v>
      </c>
      <c r="S545" s="4" t="s">
        <v>30</v>
      </c>
      <c r="T545" s="2">
        <v>0.49</v>
      </c>
      <c r="U545" s="3">
        <v>40292</v>
      </c>
    </row>
    <row r="546" spans="1:21">
      <c r="A546" s="2">
        <v>4976</v>
      </c>
      <c r="B546" s="2">
        <v>35399</v>
      </c>
      <c r="C546" s="6">
        <v>40564</v>
      </c>
      <c r="D546" s="4" t="s">
        <v>14</v>
      </c>
      <c r="E546" s="2">
        <v>38</v>
      </c>
      <c r="F546" s="5">
        <v>188.38</v>
      </c>
      <c r="G546" s="5">
        <v>0.04</v>
      </c>
      <c r="H546" s="4" t="s">
        <v>15</v>
      </c>
      <c r="I546" s="5">
        <v>-120.12</v>
      </c>
      <c r="J546" s="2">
        <v>4.91</v>
      </c>
      <c r="K546" s="5">
        <v>5.68</v>
      </c>
      <c r="L546" s="4" t="s">
        <v>1156</v>
      </c>
      <c r="M546" s="4" t="s">
        <v>43</v>
      </c>
      <c r="N546" s="4" t="s">
        <v>44</v>
      </c>
      <c r="O546" s="4" t="s">
        <v>27</v>
      </c>
      <c r="P546" s="4" t="s">
        <v>19</v>
      </c>
      <c r="Q546" s="4" t="s">
        <v>111</v>
      </c>
      <c r="R546" s="2" t="s">
        <v>875</v>
      </c>
      <c r="S546" s="4" t="s">
        <v>51</v>
      </c>
      <c r="T546" s="2">
        <v>0.36</v>
      </c>
      <c r="U546" s="3">
        <v>40566</v>
      </c>
    </row>
    <row r="547" spans="1:21">
      <c r="A547" s="2">
        <v>4985</v>
      </c>
      <c r="B547" s="2">
        <v>35461</v>
      </c>
      <c r="C547" s="6">
        <v>39965</v>
      </c>
      <c r="D547" s="4" t="s">
        <v>52</v>
      </c>
      <c r="E547" s="2">
        <v>11</v>
      </c>
      <c r="F547" s="5">
        <v>48.75</v>
      </c>
      <c r="G547" s="5">
        <v>0.08</v>
      </c>
      <c r="H547" s="4" t="s">
        <v>15</v>
      </c>
      <c r="I547" s="5">
        <v>3.5</v>
      </c>
      <c r="J547" s="2">
        <v>4.49</v>
      </c>
      <c r="K547" s="5">
        <v>1.49</v>
      </c>
      <c r="L547" s="4" t="s">
        <v>1157</v>
      </c>
      <c r="M547" s="4" t="s">
        <v>70</v>
      </c>
      <c r="N547" s="4" t="s">
        <v>44</v>
      </c>
      <c r="O547" s="4" t="s">
        <v>27</v>
      </c>
      <c r="P547" s="4" t="s">
        <v>19</v>
      </c>
      <c r="Q547" s="4" t="s">
        <v>111</v>
      </c>
      <c r="R547" s="2" t="s">
        <v>1158</v>
      </c>
      <c r="S547" s="4" t="s">
        <v>51</v>
      </c>
      <c r="T547" s="2">
        <v>0.39</v>
      </c>
      <c r="U547" s="3">
        <v>39965</v>
      </c>
    </row>
    <row r="548" spans="1:21">
      <c r="A548" s="2">
        <v>5039</v>
      </c>
      <c r="B548" s="2">
        <v>35910</v>
      </c>
      <c r="C548" s="6">
        <v>40506</v>
      </c>
      <c r="D548" s="4" t="s">
        <v>31</v>
      </c>
      <c r="E548" s="2">
        <v>28</v>
      </c>
      <c r="F548" s="5">
        <v>881.50099999999998</v>
      </c>
      <c r="G548" s="5">
        <v>0.02</v>
      </c>
      <c r="H548" s="4" t="s">
        <v>64</v>
      </c>
      <c r="I548" s="5">
        <v>334.53</v>
      </c>
      <c r="J548" s="2">
        <v>35.99</v>
      </c>
      <c r="K548" s="5">
        <v>3.3</v>
      </c>
      <c r="L548" s="4" t="s">
        <v>1159</v>
      </c>
      <c r="M548" s="4" t="s">
        <v>43</v>
      </c>
      <c r="N548" s="4" t="s">
        <v>44</v>
      </c>
      <c r="O548" s="4" t="s">
        <v>27</v>
      </c>
      <c r="P548" s="4" t="s">
        <v>40</v>
      </c>
      <c r="Q548" s="4" t="s">
        <v>41</v>
      </c>
      <c r="R548" s="2" t="s">
        <v>1049</v>
      </c>
      <c r="S548" s="4" t="s">
        <v>30</v>
      </c>
      <c r="T548" s="2">
        <v>0.39</v>
      </c>
      <c r="U548" s="3">
        <v>40507</v>
      </c>
    </row>
    <row r="549" spans="1:21">
      <c r="A549" s="2">
        <v>5163</v>
      </c>
      <c r="B549" s="2">
        <v>36741</v>
      </c>
      <c r="C549" s="6">
        <v>40531</v>
      </c>
      <c r="D549" s="4" t="s">
        <v>52</v>
      </c>
      <c r="E549" s="2">
        <v>26</v>
      </c>
      <c r="F549" s="5">
        <v>141.4</v>
      </c>
      <c r="G549" s="5">
        <v>0.08</v>
      </c>
      <c r="H549" s="4" t="s">
        <v>15</v>
      </c>
      <c r="I549" s="5">
        <v>34.479999999999997</v>
      </c>
      <c r="J549" s="2">
        <v>5.68</v>
      </c>
      <c r="K549" s="5">
        <v>1.46</v>
      </c>
      <c r="L549" s="4" t="s">
        <v>1160</v>
      </c>
      <c r="M549" s="4" t="s">
        <v>57</v>
      </c>
      <c r="N549" s="4" t="s">
        <v>57</v>
      </c>
      <c r="O549" s="4" t="s">
        <v>54</v>
      </c>
      <c r="P549" s="4" t="s">
        <v>19</v>
      </c>
      <c r="Q549" s="4" t="s">
        <v>78</v>
      </c>
      <c r="R549" s="2" t="s">
        <v>1129</v>
      </c>
      <c r="S549" s="4" t="s">
        <v>50</v>
      </c>
      <c r="T549" s="2">
        <v>0.39</v>
      </c>
      <c r="U549" s="3">
        <v>40534</v>
      </c>
    </row>
    <row r="550" spans="1:21">
      <c r="A550" s="2">
        <v>5352</v>
      </c>
      <c r="B550" s="2">
        <v>38048</v>
      </c>
      <c r="C550" s="6">
        <v>40202</v>
      </c>
      <c r="D550" s="4" t="s">
        <v>31</v>
      </c>
      <c r="E550" s="2">
        <v>42</v>
      </c>
      <c r="F550" s="5">
        <v>2252.2620000000002</v>
      </c>
      <c r="G550" s="5">
        <v>0.1</v>
      </c>
      <c r="H550" s="4" t="s">
        <v>15</v>
      </c>
      <c r="I550" s="5">
        <v>478.11</v>
      </c>
      <c r="J550" s="2">
        <v>65.989999999999995</v>
      </c>
      <c r="K550" s="5">
        <v>5.63</v>
      </c>
      <c r="L550" s="4" t="s">
        <v>1161</v>
      </c>
      <c r="M550" s="4" t="s">
        <v>66</v>
      </c>
      <c r="N550" s="4" t="s">
        <v>66</v>
      </c>
      <c r="O550" s="4" t="s">
        <v>27</v>
      </c>
      <c r="P550" s="4" t="s">
        <v>40</v>
      </c>
      <c r="Q550" s="4" t="s">
        <v>41</v>
      </c>
      <c r="R550" s="2">
        <v>2190</v>
      </c>
      <c r="S550" s="4" t="s">
        <v>51</v>
      </c>
      <c r="T550" s="2">
        <v>0.56000000000000005</v>
      </c>
      <c r="U550" s="3">
        <v>40202</v>
      </c>
    </row>
    <row r="551" spans="1:21">
      <c r="A551" s="2">
        <v>5381</v>
      </c>
      <c r="B551" s="2">
        <v>38274</v>
      </c>
      <c r="C551" s="6">
        <v>40704</v>
      </c>
      <c r="D551" s="4" t="s">
        <v>31</v>
      </c>
      <c r="E551" s="2">
        <v>9</v>
      </c>
      <c r="F551" s="5">
        <v>1225.3699999999999</v>
      </c>
      <c r="G551" s="5">
        <v>0.08</v>
      </c>
      <c r="H551" s="4" t="s">
        <v>15</v>
      </c>
      <c r="I551" s="5">
        <v>0.98</v>
      </c>
      <c r="J551" s="2">
        <v>140.81</v>
      </c>
      <c r="K551" s="5">
        <v>24.49</v>
      </c>
      <c r="L551" s="4" t="s">
        <v>1162</v>
      </c>
      <c r="M551" s="4" t="s">
        <v>57</v>
      </c>
      <c r="N551" s="4" t="s">
        <v>57</v>
      </c>
      <c r="O551" s="4" t="s">
        <v>60</v>
      </c>
      <c r="P551" s="4" t="s">
        <v>33</v>
      </c>
      <c r="Q551" s="4" t="s">
        <v>172</v>
      </c>
      <c r="R551" s="2" t="s">
        <v>923</v>
      </c>
      <c r="S551" s="4" t="s">
        <v>22</v>
      </c>
      <c r="T551" s="2">
        <v>0.56999999999999995</v>
      </c>
      <c r="U551" s="3">
        <v>40706</v>
      </c>
    </row>
    <row r="552" spans="1:21">
      <c r="A552" s="2">
        <v>5426</v>
      </c>
      <c r="B552" s="2">
        <v>38561</v>
      </c>
      <c r="C552" s="6">
        <v>40785</v>
      </c>
      <c r="D552" s="4" t="s">
        <v>52</v>
      </c>
      <c r="E552" s="2">
        <v>19</v>
      </c>
      <c r="F552" s="5">
        <v>169.4</v>
      </c>
      <c r="G552" s="5">
        <v>0.1</v>
      </c>
      <c r="H552" s="4" t="s">
        <v>15</v>
      </c>
      <c r="I552" s="5">
        <v>-59.64</v>
      </c>
      <c r="J552" s="2">
        <v>9.48</v>
      </c>
      <c r="K552" s="5">
        <v>7.29</v>
      </c>
      <c r="L552" s="4" t="s">
        <v>1163</v>
      </c>
      <c r="M552" s="4" t="s">
        <v>43</v>
      </c>
      <c r="N552" s="4" t="s">
        <v>44</v>
      </c>
      <c r="O552" s="4" t="s">
        <v>54</v>
      </c>
      <c r="P552" s="4" t="s">
        <v>33</v>
      </c>
      <c r="Q552" s="4" t="s">
        <v>34</v>
      </c>
      <c r="R552" s="2" t="s">
        <v>584</v>
      </c>
      <c r="S552" s="4" t="s">
        <v>30</v>
      </c>
      <c r="T552" s="2">
        <v>0.45</v>
      </c>
      <c r="U552" s="3">
        <v>40787</v>
      </c>
    </row>
    <row r="553" spans="1:21">
      <c r="A553" s="2">
        <v>6348</v>
      </c>
      <c r="B553" s="2">
        <v>44995</v>
      </c>
      <c r="C553" s="6">
        <v>40031</v>
      </c>
      <c r="D553" s="4" t="s">
        <v>31</v>
      </c>
      <c r="E553" s="2">
        <v>46</v>
      </c>
      <c r="F553" s="5">
        <v>1219.2484999999999</v>
      </c>
      <c r="G553" s="5">
        <v>0.01</v>
      </c>
      <c r="H553" s="4" t="s">
        <v>15</v>
      </c>
      <c r="I553" s="5">
        <v>132.79</v>
      </c>
      <c r="J553" s="2">
        <v>28.99</v>
      </c>
      <c r="K553" s="5">
        <v>8.59</v>
      </c>
      <c r="L553" s="4" t="s">
        <v>1164</v>
      </c>
      <c r="M553" s="4" t="s">
        <v>25</v>
      </c>
      <c r="N553" s="4" t="s">
        <v>26</v>
      </c>
      <c r="O553" s="4" t="s">
        <v>54</v>
      </c>
      <c r="P553" s="4" t="s">
        <v>40</v>
      </c>
      <c r="Q553" s="4" t="s">
        <v>41</v>
      </c>
      <c r="R553" s="2" t="s">
        <v>1017</v>
      </c>
      <c r="S553" s="4" t="s">
        <v>36</v>
      </c>
      <c r="T553" s="2">
        <v>0.56000000000000005</v>
      </c>
      <c r="U553" s="3">
        <v>40032</v>
      </c>
    </row>
    <row r="554" spans="1:21">
      <c r="A554" s="2">
        <v>7870</v>
      </c>
      <c r="B554" s="2">
        <v>56291</v>
      </c>
      <c r="C554" s="6">
        <v>41169</v>
      </c>
      <c r="D554" s="4" t="s">
        <v>23</v>
      </c>
      <c r="E554" s="2">
        <v>22</v>
      </c>
      <c r="F554" s="5">
        <v>11022.53</v>
      </c>
      <c r="G554" s="5">
        <v>0.06</v>
      </c>
      <c r="H554" s="4" t="s">
        <v>37</v>
      </c>
      <c r="I554" s="5">
        <v>1869.86</v>
      </c>
      <c r="J554" s="2">
        <v>517.48</v>
      </c>
      <c r="K554" s="5">
        <v>16.63</v>
      </c>
      <c r="L554" s="4" t="s">
        <v>1165</v>
      </c>
      <c r="M554" s="4" t="s">
        <v>66</v>
      </c>
      <c r="N554" s="4" t="s">
        <v>66</v>
      </c>
      <c r="O554" s="4" t="s">
        <v>27</v>
      </c>
      <c r="P554" s="4" t="s">
        <v>40</v>
      </c>
      <c r="Q554" s="4" t="s">
        <v>81</v>
      </c>
      <c r="R554" s="2" t="s">
        <v>1146</v>
      </c>
      <c r="S554" s="4" t="s">
        <v>39</v>
      </c>
      <c r="T554" s="2">
        <v>0.59</v>
      </c>
      <c r="U554" s="3">
        <v>41171</v>
      </c>
    </row>
    <row r="555" spans="1:21">
      <c r="C555"/>
    </row>
    <row r="556" spans="1:21">
      <c r="C556"/>
    </row>
    <row r="557" spans="1:21">
      <c r="C557"/>
    </row>
    <row r="558" spans="1:21">
      <c r="C558"/>
    </row>
    <row r="559" spans="1:21">
      <c r="C559"/>
    </row>
    <row r="560" spans="1:21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  <row r="871" spans="3:3">
      <c r="C871"/>
    </row>
    <row r="872" spans="3:3">
      <c r="C872"/>
    </row>
    <row r="873" spans="3:3">
      <c r="C873"/>
    </row>
    <row r="874" spans="3:3">
      <c r="C874"/>
    </row>
    <row r="875" spans="3:3">
      <c r="C875"/>
    </row>
    <row r="876" spans="3:3">
      <c r="C876"/>
    </row>
    <row r="877" spans="3:3">
      <c r="C877"/>
    </row>
    <row r="878" spans="3:3">
      <c r="C878"/>
    </row>
    <row r="879" spans="3:3">
      <c r="C879"/>
    </row>
    <row r="880" spans="3:3">
      <c r="C880"/>
    </row>
    <row r="881" spans="3:3">
      <c r="C881"/>
    </row>
    <row r="882" spans="3:3">
      <c r="C882"/>
    </row>
    <row r="883" spans="3:3">
      <c r="C883"/>
    </row>
    <row r="884" spans="3:3">
      <c r="C884"/>
    </row>
    <row r="885" spans="3:3">
      <c r="C885"/>
    </row>
    <row r="886" spans="3:3">
      <c r="C886"/>
    </row>
    <row r="887" spans="3:3">
      <c r="C887"/>
    </row>
    <row r="888" spans="3:3">
      <c r="C888"/>
    </row>
    <row r="889" spans="3:3">
      <c r="C889"/>
    </row>
    <row r="890" spans="3:3">
      <c r="C890"/>
    </row>
    <row r="891" spans="3:3">
      <c r="C891"/>
    </row>
    <row r="892" spans="3:3">
      <c r="C892"/>
    </row>
    <row r="893" spans="3:3">
      <c r="C893"/>
    </row>
    <row r="894" spans="3:3">
      <c r="C894"/>
    </row>
    <row r="895" spans="3:3">
      <c r="C895"/>
    </row>
    <row r="896" spans="3:3">
      <c r="C896"/>
    </row>
    <row r="897" spans="3:3">
      <c r="C897"/>
    </row>
    <row r="898" spans="3:3">
      <c r="C898"/>
    </row>
    <row r="899" spans="3:3">
      <c r="C899"/>
    </row>
    <row r="900" spans="3:3">
      <c r="C900"/>
    </row>
    <row r="901" spans="3:3">
      <c r="C901"/>
    </row>
    <row r="902" spans="3:3">
      <c r="C902"/>
    </row>
    <row r="903" spans="3:3">
      <c r="C903"/>
    </row>
    <row r="904" spans="3:3">
      <c r="C904"/>
    </row>
    <row r="905" spans="3:3">
      <c r="C905"/>
    </row>
    <row r="906" spans="3:3">
      <c r="C906"/>
    </row>
    <row r="907" spans="3:3">
      <c r="C907"/>
    </row>
    <row r="908" spans="3:3">
      <c r="C908"/>
    </row>
    <row r="909" spans="3:3">
      <c r="C909"/>
    </row>
    <row r="910" spans="3:3">
      <c r="C910"/>
    </row>
    <row r="911" spans="3:3">
      <c r="C911"/>
    </row>
    <row r="912" spans="3:3">
      <c r="C912"/>
    </row>
    <row r="913" spans="3:3">
      <c r="C913"/>
    </row>
    <row r="914" spans="3:3">
      <c r="C914"/>
    </row>
    <row r="915" spans="3:3">
      <c r="C915"/>
    </row>
    <row r="916" spans="3:3">
      <c r="C916"/>
    </row>
    <row r="917" spans="3:3">
      <c r="C917"/>
    </row>
    <row r="918" spans="3:3">
      <c r="C918"/>
    </row>
    <row r="919" spans="3:3">
      <c r="C919"/>
    </row>
    <row r="920" spans="3:3">
      <c r="C920"/>
    </row>
    <row r="921" spans="3:3">
      <c r="C921"/>
    </row>
    <row r="922" spans="3:3">
      <c r="C922"/>
    </row>
    <row r="923" spans="3:3">
      <c r="C923"/>
    </row>
    <row r="924" spans="3:3">
      <c r="C924"/>
    </row>
    <row r="925" spans="3:3">
      <c r="C925"/>
    </row>
    <row r="926" spans="3:3">
      <c r="C926"/>
    </row>
    <row r="927" spans="3:3">
      <c r="C927"/>
    </row>
    <row r="928" spans="3:3">
      <c r="C928"/>
    </row>
    <row r="929" spans="3:3">
      <c r="C929"/>
    </row>
    <row r="930" spans="3:3">
      <c r="C930"/>
    </row>
    <row r="931" spans="3:3">
      <c r="C931"/>
    </row>
    <row r="932" spans="3:3">
      <c r="C932"/>
    </row>
    <row r="933" spans="3:3">
      <c r="C933"/>
    </row>
    <row r="934" spans="3:3">
      <c r="C934"/>
    </row>
    <row r="935" spans="3:3">
      <c r="C935"/>
    </row>
    <row r="936" spans="3:3">
      <c r="C936"/>
    </row>
    <row r="937" spans="3:3">
      <c r="C937"/>
    </row>
    <row r="938" spans="3:3">
      <c r="C938"/>
    </row>
    <row r="939" spans="3:3">
      <c r="C939"/>
    </row>
    <row r="940" spans="3:3">
      <c r="C940"/>
    </row>
    <row r="941" spans="3:3">
      <c r="C941"/>
    </row>
    <row r="942" spans="3:3">
      <c r="C942"/>
    </row>
    <row r="943" spans="3:3">
      <c r="C943"/>
    </row>
    <row r="944" spans="3:3">
      <c r="C944"/>
    </row>
    <row r="945" spans="3:3">
      <c r="C945"/>
    </row>
    <row r="946" spans="3:3">
      <c r="C946"/>
    </row>
    <row r="947" spans="3:3">
      <c r="C947"/>
    </row>
    <row r="948" spans="3:3">
      <c r="C948"/>
    </row>
    <row r="949" spans="3:3">
      <c r="C949"/>
    </row>
    <row r="950" spans="3:3">
      <c r="C950"/>
    </row>
    <row r="951" spans="3:3">
      <c r="C951"/>
    </row>
    <row r="952" spans="3:3">
      <c r="C952"/>
    </row>
    <row r="953" spans="3:3">
      <c r="C953"/>
    </row>
    <row r="954" spans="3:3">
      <c r="C954"/>
    </row>
    <row r="955" spans="3:3">
      <c r="C955"/>
    </row>
    <row r="956" spans="3:3">
      <c r="C956"/>
    </row>
    <row r="957" spans="3:3">
      <c r="C957"/>
    </row>
    <row r="958" spans="3:3">
      <c r="C958"/>
    </row>
    <row r="959" spans="3:3">
      <c r="C959"/>
    </row>
    <row r="960" spans="3:3">
      <c r="C960"/>
    </row>
    <row r="961" spans="3:3">
      <c r="C961"/>
    </row>
    <row r="962" spans="3:3">
      <c r="C962"/>
    </row>
    <row r="963" spans="3:3">
      <c r="C963"/>
    </row>
    <row r="964" spans="3:3">
      <c r="C964"/>
    </row>
    <row r="965" spans="3:3">
      <c r="C965"/>
    </row>
    <row r="966" spans="3:3">
      <c r="C966"/>
    </row>
    <row r="967" spans="3:3">
      <c r="C967"/>
    </row>
    <row r="968" spans="3:3">
      <c r="C968"/>
    </row>
    <row r="969" spans="3:3">
      <c r="C969"/>
    </row>
    <row r="970" spans="3:3">
      <c r="C970"/>
    </row>
    <row r="971" spans="3:3">
      <c r="C971"/>
    </row>
    <row r="972" spans="3:3">
      <c r="C972"/>
    </row>
    <row r="973" spans="3:3">
      <c r="C973"/>
    </row>
    <row r="974" spans="3:3">
      <c r="C974"/>
    </row>
    <row r="975" spans="3:3">
      <c r="C975"/>
    </row>
    <row r="976" spans="3:3">
      <c r="C976"/>
    </row>
    <row r="977" spans="3:3">
      <c r="C977"/>
    </row>
    <row r="978" spans="3:3">
      <c r="C978"/>
    </row>
    <row r="979" spans="3:3">
      <c r="C979"/>
    </row>
    <row r="980" spans="3:3">
      <c r="C980"/>
    </row>
    <row r="981" spans="3:3">
      <c r="C981"/>
    </row>
    <row r="982" spans="3:3">
      <c r="C982"/>
    </row>
    <row r="983" spans="3:3">
      <c r="C983"/>
    </row>
    <row r="984" spans="3:3">
      <c r="C984"/>
    </row>
    <row r="985" spans="3:3">
      <c r="C985"/>
    </row>
    <row r="986" spans="3:3">
      <c r="C986"/>
    </row>
    <row r="987" spans="3:3">
      <c r="C987"/>
    </row>
    <row r="988" spans="3:3">
      <c r="C988"/>
    </row>
    <row r="989" spans="3:3">
      <c r="C989"/>
    </row>
    <row r="990" spans="3:3">
      <c r="C990"/>
    </row>
    <row r="991" spans="3:3">
      <c r="C991"/>
    </row>
    <row r="992" spans="3:3">
      <c r="C992"/>
    </row>
    <row r="993" spans="3:3">
      <c r="C993"/>
    </row>
    <row r="994" spans="3:3">
      <c r="C994"/>
    </row>
    <row r="995" spans="3:3">
      <c r="C995"/>
    </row>
    <row r="996" spans="3:3">
      <c r="C996"/>
    </row>
    <row r="997" spans="3:3">
      <c r="C997"/>
    </row>
    <row r="998" spans="3:3">
      <c r="C998"/>
    </row>
    <row r="999" spans="3:3">
      <c r="C999"/>
    </row>
    <row r="1000" spans="3:3">
      <c r="C1000"/>
    </row>
    <row r="1001" spans="3:3">
      <c r="C1001"/>
    </row>
    <row r="1002" spans="3:3">
      <c r="C1002"/>
    </row>
    <row r="1003" spans="3:3">
      <c r="C1003"/>
    </row>
    <row r="1004" spans="3:3">
      <c r="C1004"/>
    </row>
    <row r="1005" spans="3:3">
      <c r="C1005"/>
    </row>
    <row r="1006" spans="3:3">
      <c r="C1006"/>
    </row>
    <row r="1007" spans="3:3">
      <c r="C1007"/>
    </row>
    <row r="1008" spans="3:3">
      <c r="C1008"/>
    </row>
    <row r="1009" spans="3:3">
      <c r="C1009"/>
    </row>
    <row r="1010" spans="3:3">
      <c r="C1010"/>
    </row>
    <row r="1011" spans="3:3">
      <c r="C1011"/>
    </row>
    <row r="1012" spans="3:3">
      <c r="C1012"/>
    </row>
    <row r="1013" spans="3:3">
      <c r="C1013"/>
    </row>
    <row r="1014" spans="3:3">
      <c r="C1014"/>
    </row>
    <row r="1015" spans="3:3">
      <c r="C1015"/>
    </row>
    <row r="1016" spans="3:3">
      <c r="C1016"/>
    </row>
    <row r="1017" spans="3:3">
      <c r="C1017"/>
    </row>
    <row r="1018" spans="3:3">
      <c r="C1018"/>
    </row>
    <row r="1019" spans="3:3">
      <c r="C1019"/>
    </row>
    <row r="1020" spans="3:3">
      <c r="C1020"/>
    </row>
    <row r="1021" spans="3:3">
      <c r="C1021"/>
    </row>
    <row r="1022" spans="3:3">
      <c r="C1022"/>
    </row>
    <row r="1023" spans="3:3">
      <c r="C1023"/>
    </row>
    <row r="1024" spans="3:3">
      <c r="C1024"/>
    </row>
    <row r="1025" spans="3:3">
      <c r="C1025"/>
    </row>
    <row r="1026" spans="3:3">
      <c r="C1026"/>
    </row>
    <row r="1027" spans="3:3">
      <c r="C1027"/>
    </row>
    <row r="1028" spans="3:3">
      <c r="C1028"/>
    </row>
    <row r="1029" spans="3:3">
      <c r="C1029"/>
    </row>
    <row r="1030" spans="3:3">
      <c r="C1030"/>
    </row>
    <row r="1031" spans="3:3">
      <c r="C1031"/>
    </row>
    <row r="1032" spans="3:3">
      <c r="C1032"/>
    </row>
    <row r="1033" spans="3:3">
      <c r="C1033"/>
    </row>
    <row r="1034" spans="3:3">
      <c r="C1034"/>
    </row>
    <row r="1035" spans="3:3">
      <c r="C1035"/>
    </row>
    <row r="1036" spans="3:3">
      <c r="C1036"/>
    </row>
    <row r="1037" spans="3:3">
      <c r="C1037"/>
    </row>
    <row r="1038" spans="3:3">
      <c r="C1038"/>
    </row>
    <row r="1039" spans="3:3">
      <c r="C1039"/>
    </row>
    <row r="1040" spans="3:3">
      <c r="C1040"/>
    </row>
    <row r="1041" spans="3:3">
      <c r="C1041"/>
    </row>
    <row r="1042" spans="3:3">
      <c r="C1042"/>
    </row>
    <row r="1043" spans="3:3">
      <c r="C1043"/>
    </row>
    <row r="1044" spans="3:3">
      <c r="C1044"/>
    </row>
    <row r="1045" spans="3:3">
      <c r="C1045"/>
    </row>
    <row r="1046" spans="3:3">
      <c r="C1046"/>
    </row>
    <row r="1047" spans="3:3">
      <c r="C1047"/>
    </row>
    <row r="1048" spans="3:3">
      <c r="C1048"/>
    </row>
    <row r="1049" spans="3:3">
      <c r="C1049"/>
    </row>
    <row r="1050" spans="3:3">
      <c r="C1050"/>
    </row>
    <row r="1051" spans="3:3">
      <c r="C1051"/>
    </row>
    <row r="1052" spans="3:3">
      <c r="C1052"/>
    </row>
    <row r="1053" spans="3:3">
      <c r="C1053"/>
    </row>
    <row r="1054" spans="3:3">
      <c r="C1054"/>
    </row>
    <row r="1055" spans="3:3">
      <c r="C1055"/>
    </row>
    <row r="1056" spans="3:3">
      <c r="C1056"/>
    </row>
    <row r="1057" spans="3:3">
      <c r="C1057"/>
    </row>
    <row r="1058" spans="3:3">
      <c r="C1058"/>
    </row>
    <row r="1059" spans="3:3">
      <c r="C1059"/>
    </row>
    <row r="1060" spans="3:3">
      <c r="C1060"/>
    </row>
    <row r="1061" spans="3:3">
      <c r="C1061"/>
    </row>
    <row r="1062" spans="3:3">
      <c r="C1062"/>
    </row>
    <row r="1063" spans="3:3">
      <c r="C1063"/>
    </row>
    <row r="1064" spans="3:3">
      <c r="C1064"/>
    </row>
    <row r="1065" spans="3:3">
      <c r="C1065"/>
    </row>
    <row r="1066" spans="3:3">
      <c r="C1066"/>
    </row>
    <row r="1067" spans="3:3">
      <c r="C1067"/>
    </row>
    <row r="1068" spans="3:3">
      <c r="C1068"/>
    </row>
    <row r="1069" spans="3:3">
      <c r="C1069"/>
    </row>
    <row r="1070" spans="3:3">
      <c r="C1070"/>
    </row>
    <row r="1071" spans="3:3">
      <c r="C1071"/>
    </row>
    <row r="1072" spans="3:3">
      <c r="C1072"/>
    </row>
    <row r="1073" spans="3:3">
      <c r="C1073"/>
    </row>
    <row r="1074" spans="3:3">
      <c r="C1074"/>
    </row>
    <row r="1075" spans="3:3">
      <c r="C1075"/>
    </row>
    <row r="1076" spans="3:3">
      <c r="C1076"/>
    </row>
    <row r="1077" spans="3:3">
      <c r="C1077"/>
    </row>
    <row r="1078" spans="3:3">
      <c r="C1078"/>
    </row>
    <row r="1079" spans="3:3">
      <c r="C1079"/>
    </row>
    <row r="1080" spans="3:3">
      <c r="C1080"/>
    </row>
    <row r="1081" spans="3:3">
      <c r="C1081"/>
    </row>
    <row r="1082" spans="3:3">
      <c r="C1082"/>
    </row>
    <row r="1083" spans="3:3">
      <c r="C1083"/>
    </row>
    <row r="1084" spans="3:3">
      <c r="C1084"/>
    </row>
    <row r="1085" spans="3:3">
      <c r="C1085"/>
    </row>
    <row r="1086" spans="3:3">
      <c r="C1086"/>
    </row>
    <row r="1087" spans="3:3">
      <c r="C1087"/>
    </row>
    <row r="1088" spans="3:3">
      <c r="C1088"/>
    </row>
    <row r="1089" spans="3:3">
      <c r="C1089"/>
    </row>
    <row r="1090" spans="3:3">
      <c r="C1090"/>
    </row>
    <row r="1091" spans="3:3">
      <c r="C1091"/>
    </row>
    <row r="1092" spans="3:3">
      <c r="C1092"/>
    </row>
    <row r="1093" spans="3:3">
      <c r="C1093"/>
    </row>
    <row r="1094" spans="3:3">
      <c r="C1094"/>
    </row>
    <row r="1095" spans="3:3">
      <c r="C1095"/>
    </row>
    <row r="1096" spans="3:3">
      <c r="C1096"/>
    </row>
    <row r="1097" spans="3:3">
      <c r="C1097"/>
    </row>
    <row r="1098" spans="3:3">
      <c r="C1098"/>
    </row>
    <row r="1099" spans="3:3">
      <c r="C1099"/>
    </row>
    <row r="1100" spans="3:3">
      <c r="C1100"/>
    </row>
    <row r="1101" spans="3:3">
      <c r="C1101"/>
    </row>
    <row r="1102" spans="3:3">
      <c r="C1102"/>
    </row>
    <row r="1103" spans="3:3">
      <c r="C1103"/>
    </row>
    <row r="1104" spans="3:3">
      <c r="C1104"/>
    </row>
    <row r="1105" spans="3:3">
      <c r="C1105"/>
    </row>
    <row r="1106" spans="3:3">
      <c r="C1106"/>
    </row>
    <row r="1107" spans="3:3">
      <c r="C1107"/>
    </row>
    <row r="1108" spans="3:3">
      <c r="C1108"/>
    </row>
    <row r="1109" spans="3:3">
      <c r="C1109"/>
    </row>
    <row r="1110" spans="3:3">
      <c r="C1110"/>
    </row>
    <row r="1111" spans="3:3">
      <c r="C1111"/>
    </row>
    <row r="1112" spans="3:3">
      <c r="C1112"/>
    </row>
    <row r="1113" spans="3:3">
      <c r="C1113"/>
    </row>
    <row r="1114" spans="3:3">
      <c r="C1114"/>
    </row>
    <row r="1115" spans="3:3">
      <c r="C1115"/>
    </row>
    <row r="1116" spans="3:3">
      <c r="C1116"/>
    </row>
    <row r="1117" spans="3:3">
      <c r="C1117"/>
    </row>
    <row r="1118" spans="3:3">
      <c r="C1118"/>
    </row>
    <row r="1119" spans="3:3">
      <c r="C1119"/>
    </row>
    <row r="1120" spans="3:3">
      <c r="C1120"/>
    </row>
    <row r="1121" spans="3:3">
      <c r="C1121"/>
    </row>
    <row r="1122" spans="3:3">
      <c r="C1122"/>
    </row>
    <row r="1123" spans="3:3">
      <c r="C1123"/>
    </row>
    <row r="1124" spans="3:3">
      <c r="C1124"/>
    </row>
    <row r="1125" spans="3:3">
      <c r="C1125"/>
    </row>
    <row r="1126" spans="3:3">
      <c r="C1126"/>
    </row>
    <row r="1127" spans="3:3">
      <c r="C1127"/>
    </row>
    <row r="1128" spans="3:3">
      <c r="C1128"/>
    </row>
    <row r="1129" spans="3:3">
      <c r="C1129"/>
    </row>
    <row r="1130" spans="3:3">
      <c r="C1130"/>
    </row>
    <row r="1131" spans="3:3">
      <c r="C1131"/>
    </row>
    <row r="1132" spans="3:3">
      <c r="C1132"/>
    </row>
    <row r="1133" spans="3:3">
      <c r="C1133"/>
    </row>
    <row r="1134" spans="3:3">
      <c r="C1134"/>
    </row>
    <row r="1135" spans="3:3">
      <c r="C1135"/>
    </row>
    <row r="1136" spans="3:3">
      <c r="C1136"/>
    </row>
    <row r="1137" spans="3:3">
      <c r="C1137"/>
    </row>
    <row r="1138" spans="3:3">
      <c r="C1138"/>
    </row>
    <row r="1139" spans="3:3">
      <c r="C1139"/>
    </row>
    <row r="1140" spans="3:3">
      <c r="C1140"/>
    </row>
    <row r="1141" spans="3:3">
      <c r="C1141"/>
    </row>
    <row r="1142" spans="3:3">
      <c r="C1142"/>
    </row>
    <row r="1143" spans="3:3">
      <c r="C1143"/>
    </row>
    <row r="1144" spans="3:3">
      <c r="C1144"/>
    </row>
    <row r="1145" spans="3:3">
      <c r="C1145"/>
    </row>
    <row r="1146" spans="3:3">
      <c r="C1146"/>
    </row>
    <row r="1147" spans="3:3">
      <c r="C1147"/>
    </row>
    <row r="1148" spans="3:3">
      <c r="C1148"/>
    </row>
    <row r="1149" spans="3:3">
      <c r="C1149"/>
    </row>
    <row r="1150" spans="3:3">
      <c r="C1150"/>
    </row>
    <row r="1151" spans="3:3">
      <c r="C1151"/>
    </row>
    <row r="1152" spans="3:3">
      <c r="C1152"/>
    </row>
    <row r="1153" spans="3:3">
      <c r="C1153"/>
    </row>
    <row r="1154" spans="3:3">
      <c r="C1154"/>
    </row>
    <row r="1155" spans="3:3">
      <c r="C1155"/>
    </row>
    <row r="1156" spans="3:3">
      <c r="C1156"/>
    </row>
    <row r="1157" spans="3:3">
      <c r="C1157"/>
    </row>
    <row r="1158" spans="3:3">
      <c r="C1158"/>
    </row>
    <row r="1159" spans="3:3">
      <c r="C1159"/>
    </row>
    <row r="1160" spans="3:3">
      <c r="C1160"/>
    </row>
    <row r="1161" spans="3:3">
      <c r="C1161"/>
    </row>
    <row r="1162" spans="3:3">
      <c r="C1162"/>
    </row>
    <row r="1163" spans="3:3">
      <c r="C1163"/>
    </row>
    <row r="1164" spans="3:3">
      <c r="C1164"/>
    </row>
    <row r="1165" spans="3:3">
      <c r="C1165"/>
    </row>
    <row r="1166" spans="3:3">
      <c r="C1166"/>
    </row>
    <row r="1167" spans="3:3">
      <c r="C1167"/>
    </row>
    <row r="1168" spans="3:3">
      <c r="C1168"/>
    </row>
    <row r="1169" spans="3:3">
      <c r="C1169"/>
    </row>
    <row r="1170" spans="3:3">
      <c r="C1170"/>
    </row>
    <row r="1171" spans="3:3">
      <c r="C1171"/>
    </row>
    <row r="1172" spans="3:3">
      <c r="C1172"/>
    </row>
    <row r="1173" spans="3:3">
      <c r="C1173"/>
    </row>
    <row r="1174" spans="3:3">
      <c r="C1174"/>
    </row>
    <row r="1175" spans="3:3">
      <c r="C1175"/>
    </row>
    <row r="1176" spans="3:3">
      <c r="C1176"/>
    </row>
    <row r="1177" spans="3:3">
      <c r="C1177"/>
    </row>
    <row r="1178" spans="3:3">
      <c r="C1178"/>
    </row>
    <row r="1179" spans="3:3">
      <c r="C1179"/>
    </row>
    <row r="1180" spans="3:3">
      <c r="C1180"/>
    </row>
    <row r="1181" spans="3:3">
      <c r="C1181"/>
    </row>
    <row r="1182" spans="3:3">
      <c r="C1182"/>
    </row>
    <row r="1183" spans="3:3">
      <c r="C1183"/>
    </row>
    <row r="1184" spans="3:3">
      <c r="C1184"/>
    </row>
    <row r="1185" spans="3:3">
      <c r="C1185"/>
    </row>
    <row r="1186" spans="3:3">
      <c r="C1186"/>
    </row>
    <row r="1187" spans="3:3">
      <c r="C1187"/>
    </row>
    <row r="1188" spans="3:3">
      <c r="C1188"/>
    </row>
    <row r="1189" spans="3:3">
      <c r="C1189"/>
    </row>
    <row r="1190" spans="3:3">
      <c r="C1190"/>
    </row>
    <row r="1191" spans="3:3">
      <c r="C1191"/>
    </row>
    <row r="1192" spans="3:3">
      <c r="C1192"/>
    </row>
    <row r="1193" spans="3:3">
      <c r="C1193"/>
    </row>
    <row r="1194" spans="3:3">
      <c r="C1194"/>
    </row>
    <row r="1195" spans="3:3">
      <c r="C1195"/>
    </row>
    <row r="1196" spans="3:3">
      <c r="C1196"/>
    </row>
    <row r="1197" spans="3:3">
      <c r="C1197"/>
    </row>
    <row r="1198" spans="3:3">
      <c r="C1198"/>
    </row>
    <row r="1199" spans="3:3">
      <c r="C1199"/>
    </row>
    <row r="1200" spans="3:3">
      <c r="C1200"/>
    </row>
    <row r="1201" spans="3:3">
      <c r="C1201"/>
    </row>
    <row r="1202" spans="3:3">
      <c r="C1202"/>
    </row>
    <row r="1203" spans="3:3">
      <c r="C1203"/>
    </row>
    <row r="1204" spans="3:3">
      <c r="C1204"/>
    </row>
    <row r="1205" spans="3:3">
      <c r="C1205"/>
    </row>
    <row r="1206" spans="3:3">
      <c r="C1206"/>
    </row>
    <row r="1207" spans="3:3">
      <c r="C1207"/>
    </row>
    <row r="1208" spans="3:3">
      <c r="C1208"/>
    </row>
    <row r="1209" spans="3:3">
      <c r="C1209"/>
    </row>
    <row r="1210" spans="3:3">
      <c r="C1210"/>
    </row>
    <row r="1211" spans="3:3">
      <c r="C1211"/>
    </row>
    <row r="1212" spans="3:3">
      <c r="C1212"/>
    </row>
    <row r="1213" spans="3:3">
      <c r="C1213"/>
    </row>
    <row r="1214" spans="3:3">
      <c r="C1214"/>
    </row>
    <row r="1215" spans="3:3">
      <c r="C1215"/>
    </row>
    <row r="1216" spans="3:3">
      <c r="C1216"/>
    </row>
    <row r="1217" spans="3:3">
      <c r="C1217"/>
    </row>
    <row r="1218" spans="3:3">
      <c r="C1218"/>
    </row>
    <row r="1219" spans="3:3">
      <c r="C1219"/>
    </row>
    <row r="1220" spans="3:3">
      <c r="C1220"/>
    </row>
    <row r="1221" spans="3:3">
      <c r="C1221"/>
    </row>
    <row r="1222" spans="3:3">
      <c r="C1222"/>
    </row>
    <row r="1223" spans="3:3">
      <c r="C1223"/>
    </row>
    <row r="1224" spans="3:3">
      <c r="C1224"/>
    </row>
    <row r="1225" spans="3:3">
      <c r="C1225"/>
    </row>
    <row r="1226" spans="3:3">
      <c r="C1226"/>
    </row>
    <row r="1227" spans="3:3">
      <c r="C1227"/>
    </row>
    <row r="1228" spans="3:3">
      <c r="C1228"/>
    </row>
    <row r="1229" spans="3:3">
      <c r="C1229"/>
    </row>
    <row r="1230" spans="3:3">
      <c r="C1230"/>
    </row>
    <row r="1231" spans="3:3">
      <c r="C1231"/>
    </row>
    <row r="1232" spans="3:3">
      <c r="C1232"/>
    </row>
    <row r="1233" spans="3:3">
      <c r="C1233"/>
    </row>
    <row r="1234" spans="3:3">
      <c r="C1234"/>
    </row>
    <row r="1235" spans="3:3">
      <c r="C1235"/>
    </row>
    <row r="1236" spans="3:3">
      <c r="C1236"/>
    </row>
    <row r="1237" spans="3:3">
      <c r="C1237"/>
    </row>
    <row r="1238" spans="3:3">
      <c r="C1238"/>
    </row>
    <row r="1239" spans="3:3">
      <c r="C1239"/>
    </row>
    <row r="1240" spans="3:3">
      <c r="C1240"/>
    </row>
    <row r="1241" spans="3:3">
      <c r="C1241"/>
    </row>
    <row r="1242" spans="3:3">
      <c r="C1242"/>
    </row>
    <row r="1243" spans="3:3">
      <c r="C1243"/>
    </row>
    <row r="1244" spans="3:3">
      <c r="C1244"/>
    </row>
    <row r="1245" spans="3:3">
      <c r="C1245"/>
    </row>
    <row r="1246" spans="3:3">
      <c r="C1246"/>
    </row>
    <row r="1247" spans="3:3">
      <c r="C1247"/>
    </row>
    <row r="1248" spans="3:3">
      <c r="C1248"/>
    </row>
    <row r="1249" spans="3:3">
      <c r="C1249"/>
    </row>
    <row r="1250" spans="3:3">
      <c r="C1250"/>
    </row>
    <row r="1251" spans="3:3">
      <c r="C1251"/>
    </row>
    <row r="1252" spans="3:3">
      <c r="C1252"/>
    </row>
    <row r="1253" spans="3:3">
      <c r="C1253"/>
    </row>
    <row r="1254" spans="3:3">
      <c r="C1254"/>
    </row>
    <row r="1255" spans="3:3">
      <c r="C1255"/>
    </row>
    <row r="1256" spans="3:3">
      <c r="C1256"/>
    </row>
    <row r="1257" spans="3:3">
      <c r="C1257"/>
    </row>
    <row r="1258" spans="3:3">
      <c r="C1258"/>
    </row>
    <row r="1259" spans="3:3">
      <c r="C1259"/>
    </row>
    <row r="1260" spans="3:3">
      <c r="C1260"/>
    </row>
    <row r="1261" spans="3:3">
      <c r="C1261"/>
    </row>
    <row r="1262" spans="3:3">
      <c r="C1262"/>
    </row>
    <row r="1263" spans="3:3">
      <c r="C1263"/>
    </row>
    <row r="1264" spans="3:3">
      <c r="C1264"/>
    </row>
    <row r="1265" spans="3:3">
      <c r="C1265"/>
    </row>
    <row r="1266" spans="3:3">
      <c r="C1266"/>
    </row>
    <row r="1267" spans="3:3">
      <c r="C1267"/>
    </row>
    <row r="1268" spans="3:3">
      <c r="C1268"/>
    </row>
    <row r="1269" spans="3:3">
      <c r="C1269"/>
    </row>
    <row r="1270" spans="3:3">
      <c r="C1270"/>
    </row>
    <row r="1271" spans="3:3">
      <c r="C1271"/>
    </row>
    <row r="1272" spans="3:3">
      <c r="C1272"/>
    </row>
    <row r="1273" spans="3:3">
      <c r="C1273"/>
    </row>
    <row r="1274" spans="3:3">
      <c r="C1274"/>
    </row>
    <row r="1275" spans="3:3">
      <c r="C1275"/>
    </row>
    <row r="1276" spans="3:3">
      <c r="C1276"/>
    </row>
    <row r="1277" spans="3:3">
      <c r="C1277"/>
    </row>
    <row r="1278" spans="3:3">
      <c r="C1278"/>
    </row>
    <row r="1279" spans="3:3">
      <c r="C1279"/>
    </row>
    <row r="1280" spans="3:3">
      <c r="C1280"/>
    </row>
    <row r="1281" spans="3:3">
      <c r="C1281"/>
    </row>
    <row r="1282" spans="3:3">
      <c r="C1282"/>
    </row>
    <row r="1283" spans="3:3">
      <c r="C1283"/>
    </row>
    <row r="1284" spans="3:3">
      <c r="C1284"/>
    </row>
    <row r="1285" spans="3:3">
      <c r="C1285"/>
    </row>
    <row r="1286" spans="3:3">
      <c r="C1286"/>
    </row>
    <row r="1287" spans="3:3">
      <c r="C1287"/>
    </row>
    <row r="1288" spans="3:3">
      <c r="C1288"/>
    </row>
    <row r="1289" spans="3:3">
      <c r="C1289"/>
    </row>
    <row r="1290" spans="3:3">
      <c r="C1290"/>
    </row>
    <row r="1291" spans="3:3">
      <c r="C1291"/>
    </row>
    <row r="1292" spans="3:3">
      <c r="C1292"/>
    </row>
    <row r="1293" spans="3:3">
      <c r="C1293"/>
    </row>
    <row r="1294" spans="3:3">
      <c r="C1294"/>
    </row>
    <row r="1295" spans="3:3">
      <c r="C1295"/>
    </row>
    <row r="1296" spans="3:3">
      <c r="C1296"/>
    </row>
    <row r="1297" spans="3:3">
      <c r="C1297"/>
    </row>
    <row r="1298" spans="3:3">
      <c r="C1298"/>
    </row>
    <row r="1299" spans="3:3">
      <c r="C1299"/>
    </row>
    <row r="1300" spans="3:3">
      <c r="C1300"/>
    </row>
    <row r="1301" spans="3:3">
      <c r="C1301"/>
    </row>
    <row r="1302" spans="3:3">
      <c r="C1302"/>
    </row>
    <row r="1303" spans="3:3">
      <c r="C1303"/>
    </row>
    <row r="1304" spans="3:3">
      <c r="C1304"/>
    </row>
    <row r="1305" spans="3:3">
      <c r="C1305"/>
    </row>
    <row r="1306" spans="3:3">
      <c r="C1306"/>
    </row>
    <row r="1307" spans="3:3">
      <c r="C1307"/>
    </row>
    <row r="1308" spans="3:3">
      <c r="C1308"/>
    </row>
    <row r="1309" spans="3:3">
      <c r="C1309"/>
    </row>
    <row r="1310" spans="3:3">
      <c r="C1310"/>
    </row>
    <row r="1311" spans="3:3">
      <c r="C1311"/>
    </row>
    <row r="1312" spans="3:3">
      <c r="C1312"/>
    </row>
    <row r="1313" spans="3:3">
      <c r="C1313"/>
    </row>
    <row r="1314" spans="3:3">
      <c r="C1314"/>
    </row>
    <row r="1315" spans="3:3">
      <c r="C1315"/>
    </row>
    <row r="1316" spans="3:3">
      <c r="C1316"/>
    </row>
    <row r="1317" spans="3:3">
      <c r="C1317"/>
    </row>
    <row r="1318" spans="3:3">
      <c r="C1318"/>
    </row>
    <row r="1319" spans="3:3">
      <c r="C1319"/>
    </row>
    <row r="1320" spans="3:3">
      <c r="C1320"/>
    </row>
    <row r="1321" spans="3:3">
      <c r="C1321"/>
    </row>
    <row r="1322" spans="3:3">
      <c r="C1322"/>
    </row>
    <row r="1323" spans="3:3">
      <c r="C1323"/>
    </row>
    <row r="1324" spans="3:3">
      <c r="C1324"/>
    </row>
    <row r="1325" spans="3:3">
      <c r="C1325"/>
    </row>
    <row r="1326" spans="3:3">
      <c r="C1326"/>
    </row>
    <row r="1327" spans="3:3">
      <c r="C1327"/>
    </row>
    <row r="1328" spans="3:3">
      <c r="C1328"/>
    </row>
    <row r="1329" spans="3:3">
      <c r="C1329"/>
    </row>
    <row r="1330" spans="3:3">
      <c r="C1330"/>
    </row>
    <row r="1331" spans="3:3">
      <c r="C1331"/>
    </row>
    <row r="1332" spans="3:3">
      <c r="C1332"/>
    </row>
    <row r="1333" spans="3:3">
      <c r="C1333"/>
    </row>
    <row r="1334" spans="3:3">
      <c r="C1334"/>
    </row>
    <row r="1335" spans="3:3">
      <c r="C1335"/>
    </row>
    <row r="1336" spans="3:3">
      <c r="C1336"/>
    </row>
    <row r="1337" spans="3:3">
      <c r="C1337"/>
    </row>
    <row r="1338" spans="3:3">
      <c r="C1338"/>
    </row>
    <row r="1339" spans="3:3">
      <c r="C1339"/>
    </row>
    <row r="1340" spans="3:3">
      <c r="C1340"/>
    </row>
    <row r="1341" spans="3:3">
      <c r="C1341"/>
    </row>
    <row r="1342" spans="3:3">
      <c r="C1342"/>
    </row>
    <row r="1343" spans="3:3">
      <c r="C1343"/>
    </row>
    <row r="1344" spans="3:3">
      <c r="C1344"/>
    </row>
    <row r="1345" spans="3:3">
      <c r="C1345"/>
    </row>
    <row r="1346" spans="3:3">
      <c r="C1346"/>
    </row>
    <row r="1347" spans="3:3">
      <c r="C1347"/>
    </row>
    <row r="1348" spans="3:3">
      <c r="C1348"/>
    </row>
    <row r="1349" spans="3:3">
      <c r="C1349"/>
    </row>
    <row r="1350" spans="3:3">
      <c r="C1350"/>
    </row>
    <row r="1351" spans="3:3">
      <c r="C1351"/>
    </row>
    <row r="1352" spans="3:3">
      <c r="C1352"/>
    </row>
    <row r="1353" spans="3:3">
      <c r="C1353"/>
    </row>
    <row r="1354" spans="3:3">
      <c r="C1354"/>
    </row>
    <row r="1355" spans="3:3">
      <c r="C1355"/>
    </row>
    <row r="1356" spans="3:3">
      <c r="C1356"/>
    </row>
    <row r="1357" spans="3:3">
      <c r="C1357"/>
    </row>
    <row r="1358" spans="3:3">
      <c r="C1358"/>
    </row>
    <row r="1359" spans="3:3">
      <c r="C1359"/>
    </row>
    <row r="1360" spans="3:3">
      <c r="C1360"/>
    </row>
    <row r="1361" spans="3:3">
      <c r="C1361"/>
    </row>
    <row r="1362" spans="3:3">
      <c r="C1362"/>
    </row>
    <row r="1363" spans="3:3">
      <c r="C1363"/>
    </row>
    <row r="1364" spans="3:3">
      <c r="C1364"/>
    </row>
    <row r="1365" spans="3:3">
      <c r="C1365"/>
    </row>
    <row r="1366" spans="3:3">
      <c r="C1366"/>
    </row>
    <row r="1367" spans="3:3">
      <c r="C1367"/>
    </row>
    <row r="1368" spans="3:3">
      <c r="C1368"/>
    </row>
    <row r="1369" spans="3:3">
      <c r="C1369"/>
    </row>
    <row r="1370" spans="3:3">
      <c r="C1370"/>
    </row>
    <row r="1371" spans="3:3">
      <c r="C1371"/>
    </row>
    <row r="1372" spans="3:3">
      <c r="C1372"/>
    </row>
    <row r="1373" spans="3:3">
      <c r="C1373"/>
    </row>
    <row r="1374" spans="3:3">
      <c r="C1374"/>
    </row>
    <row r="1375" spans="3:3">
      <c r="C1375"/>
    </row>
    <row r="1376" spans="3:3">
      <c r="C1376"/>
    </row>
    <row r="1377" spans="3:3">
      <c r="C1377"/>
    </row>
    <row r="1378" spans="3:3">
      <c r="C1378"/>
    </row>
    <row r="1379" spans="3:3">
      <c r="C1379"/>
    </row>
    <row r="1380" spans="3:3">
      <c r="C1380"/>
    </row>
    <row r="1381" spans="3:3">
      <c r="C1381"/>
    </row>
    <row r="1382" spans="3:3">
      <c r="C1382"/>
    </row>
    <row r="1383" spans="3:3">
      <c r="C1383"/>
    </row>
    <row r="1384" spans="3:3">
      <c r="C1384"/>
    </row>
    <row r="1385" spans="3:3">
      <c r="C1385"/>
    </row>
    <row r="1386" spans="3:3">
      <c r="C1386"/>
    </row>
    <row r="1387" spans="3:3">
      <c r="C1387"/>
    </row>
    <row r="1388" spans="3:3">
      <c r="C1388"/>
    </row>
    <row r="1389" spans="3:3">
      <c r="C1389"/>
    </row>
    <row r="1390" spans="3:3">
      <c r="C1390"/>
    </row>
    <row r="1391" spans="3:3">
      <c r="C1391"/>
    </row>
    <row r="1392" spans="3:3">
      <c r="C1392"/>
    </row>
    <row r="1393" spans="3:3">
      <c r="C1393"/>
    </row>
    <row r="1394" spans="3:3">
      <c r="C1394"/>
    </row>
    <row r="1395" spans="3:3">
      <c r="C1395"/>
    </row>
    <row r="1396" spans="3:3">
      <c r="C1396"/>
    </row>
    <row r="1397" spans="3:3">
      <c r="C1397"/>
    </row>
    <row r="1398" spans="3:3">
      <c r="C1398"/>
    </row>
    <row r="1399" spans="3:3">
      <c r="C1399"/>
    </row>
    <row r="1400" spans="3:3">
      <c r="C1400"/>
    </row>
    <row r="1401" spans="3:3">
      <c r="C1401"/>
    </row>
    <row r="1402" spans="3:3">
      <c r="C1402"/>
    </row>
    <row r="1403" spans="3:3">
      <c r="C1403"/>
    </row>
    <row r="1404" spans="3:3">
      <c r="C1404"/>
    </row>
    <row r="1405" spans="3:3">
      <c r="C1405"/>
    </row>
    <row r="1406" spans="3:3">
      <c r="C1406"/>
    </row>
    <row r="1407" spans="3:3">
      <c r="C1407"/>
    </row>
    <row r="1408" spans="3:3">
      <c r="C1408"/>
    </row>
    <row r="1409" spans="3:3">
      <c r="C1409"/>
    </row>
    <row r="1410" spans="3:3">
      <c r="C1410"/>
    </row>
    <row r="1411" spans="3:3">
      <c r="C1411"/>
    </row>
    <row r="1412" spans="3:3">
      <c r="C1412"/>
    </row>
    <row r="1413" spans="3:3">
      <c r="C1413"/>
    </row>
    <row r="1414" spans="3:3">
      <c r="C1414"/>
    </row>
    <row r="1415" spans="3:3">
      <c r="C1415"/>
    </row>
    <row r="1416" spans="3:3">
      <c r="C1416"/>
    </row>
    <row r="1417" spans="3:3">
      <c r="C1417"/>
    </row>
    <row r="1418" spans="3:3">
      <c r="C1418"/>
    </row>
    <row r="1419" spans="3:3">
      <c r="C1419"/>
    </row>
    <row r="1420" spans="3:3">
      <c r="C1420"/>
    </row>
    <row r="1421" spans="3:3">
      <c r="C1421"/>
    </row>
    <row r="1422" spans="3:3">
      <c r="C1422"/>
    </row>
    <row r="1423" spans="3:3">
      <c r="C1423"/>
    </row>
    <row r="1424" spans="3:3">
      <c r="C1424"/>
    </row>
    <row r="1425" spans="3:3">
      <c r="C1425"/>
    </row>
    <row r="1426" spans="3:3">
      <c r="C1426"/>
    </row>
    <row r="1427" spans="3:3">
      <c r="C1427"/>
    </row>
    <row r="1428" spans="3:3">
      <c r="C1428"/>
    </row>
    <row r="1429" spans="3:3">
      <c r="C1429"/>
    </row>
    <row r="1430" spans="3:3">
      <c r="C1430"/>
    </row>
    <row r="1431" spans="3:3">
      <c r="C1431"/>
    </row>
    <row r="1432" spans="3:3">
      <c r="C1432"/>
    </row>
    <row r="1433" spans="3:3">
      <c r="C1433"/>
    </row>
    <row r="1434" spans="3:3">
      <c r="C1434"/>
    </row>
    <row r="1435" spans="3:3">
      <c r="C1435"/>
    </row>
    <row r="1436" spans="3:3">
      <c r="C1436"/>
    </row>
    <row r="1437" spans="3:3">
      <c r="C1437"/>
    </row>
    <row r="1438" spans="3:3">
      <c r="C1438"/>
    </row>
    <row r="1439" spans="3:3">
      <c r="C1439"/>
    </row>
    <row r="1440" spans="3:3">
      <c r="C1440"/>
    </row>
    <row r="1441" spans="3:3">
      <c r="C1441"/>
    </row>
    <row r="1442" spans="3:3">
      <c r="C1442"/>
    </row>
    <row r="1443" spans="3:3">
      <c r="C1443"/>
    </row>
    <row r="1444" spans="3:3">
      <c r="C1444"/>
    </row>
    <row r="1445" spans="3:3">
      <c r="C1445"/>
    </row>
    <row r="1446" spans="3:3">
      <c r="C1446"/>
    </row>
    <row r="1447" spans="3:3">
      <c r="C1447"/>
    </row>
    <row r="1448" spans="3:3">
      <c r="C1448"/>
    </row>
    <row r="1449" spans="3:3">
      <c r="C1449"/>
    </row>
    <row r="1450" spans="3:3">
      <c r="C1450"/>
    </row>
    <row r="1451" spans="3:3">
      <c r="C1451"/>
    </row>
    <row r="1452" spans="3:3">
      <c r="C1452"/>
    </row>
    <row r="1453" spans="3:3">
      <c r="C1453"/>
    </row>
    <row r="1454" spans="3:3">
      <c r="C1454"/>
    </row>
    <row r="1455" spans="3:3">
      <c r="C1455"/>
    </row>
    <row r="1456" spans="3:3">
      <c r="C1456"/>
    </row>
    <row r="1457" spans="3:3">
      <c r="C1457"/>
    </row>
    <row r="1458" spans="3:3">
      <c r="C1458"/>
    </row>
    <row r="1459" spans="3:3">
      <c r="C1459"/>
    </row>
    <row r="1460" spans="3:3">
      <c r="C1460"/>
    </row>
    <row r="1461" spans="3:3">
      <c r="C1461"/>
    </row>
    <row r="1462" spans="3:3">
      <c r="C1462"/>
    </row>
    <row r="1463" spans="3:3">
      <c r="C1463"/>
    </row>
    <row r="1464" spans="3:3">
      <c r="C1464"/>
    </row>
    <row r="1465" spans="3:3">
      <c r="C1465"/>
    </row>
    <row r="1466" spans="3:3">
      <c r="C1466"/>
    </row>
    <row r="1467" spans="3:3">
      <c r="C1467"/>
    </row>
    <row r="1468" spans="3:3">
      <c r="C1468"/>
    </row>
    <row r="1469" spans="3:3">
      <c r="C1469"/>
    </row>
    <row r="1470" spans="3:3">
      <c r="C1470"/>
    </row>
    <row r="1471" spans="3:3">
      <c r="C1471"/>
    </row>
    <row r="1472" spans="3:3">
      <c r="C1472"/>
    </row>
    <row r="1473" spans="3:3">
      <c r="C1473"/>
    </row>
    <row r="1474" spans="3:3">
      <c r="C1474"/>
    </row>
    <row r="1475" spans="3:3">
      <c r="C1475"/>
    </row>
    <row r="1476" spans="3:3">
      <c r="C1476"/>
    </row>
    <row r="1477" spans="3:3">
      <c r="C1477"/>
    </row>
    <row r="1478" spans="3:3">
      <c r="C1478"/>
    </row>
    <row r="1479" spans="3:3">
      <c r="C1479"/>
    </row>
    <row r="1480" spans="3:3">
      <c r="C1480"/>
    </row>
    <row r="1481" spans="3:3">
      <c r="C1481"/>
    </row>
    <row r="1482" spans="3:3">
      <c r="C1482"/>
    </row>
    <row r="1483" spans="3:3">
      <c r="C1483"/>
    </row>
    <row r="1484" spans="3:3">
      <c r="C1484"/>
    </row>
    <row r="1485" spans="3:3">
      <c r="C1485"/>
    </row>
    <row r="1486" spans="3:3">
      <c r="C1486"/>
    </row>
    <row r="1487" spans="3:3">
      <c r="C1487"/>
    </row>
    <row r="1488" spans="3:3">
      <c r="C1488"/>
    </row>
    <row r="1489" spans="3:3">
      <c r="C1489"/>
    </row>
    <row r="1490" spans="3:3">
      <c r="C1490"/>
    </row>
    <row r="1491" spans="3:3">
      <c r="C1491"/>
    </row>
    <row r="1492" spans="3:3">
      <c r="C1492"/>
    </row>
    <row r="1493" spans="3:3">
      <c r="C1493"/>
    </row>
    <row r="1494" spans="3:3">
      <c r="C1494"/>
    </row>
    <row r="1495" spans="3:3">
      <c r="C1495"/>
    </row>
    <row r="1496" spans="3:3">
      <c r="C1496"/>
    </row>
    <row r="1497" spans="3:3">
      <c r="C1497"/>
    </row>
    <row r="1498" spans="3:3">
      <c r="C1498"/>
    </row>
    <row r="1499" spans="3:3">
      <c r="C1499"/>
    </row>
    <row r="1500" spans="3:3">
      <c r="C1500"/>
    </row>
    <row r="1501" spans="3:3">
      <c r="C1501"/>
    </row>
    <row r="1502" spans="3:3">
      <c r="C1502"/>
    </row>
    <row r="1503" spans="3:3">
      <c r="C1503"/>
    </row>
    <row r="1504" spans="3:3">
      <c r="C1504"/>
    </row>
    <row r="1505" spans="3:3">
      <c r="C1505"/>
    </row>
    <row r="1506" spans="3:3">
      <c r="C1506"/>
    </row>
    <row r="1507" spans="3:3">
      <c r="C1507"/>
    </row>
    <row r="1508" spans="3:3">
      <c r="C1508"/>
    </row>
    <row r="1509" spans="3:3">
      <c r="C1509"/>
    </row>
    <row r="1510" spans="3:3">
      <c r="C1510"/>
    </row>
    <row r="1511" spans="3:3">
      <c r="C1511"/>
    </row>
    <row r="1512" spans="3:3">
      <c r="C1512"/>
    </row>
    <row r="1513" spans="3:3">
      <c r="C1513"/>
    </row>
    <row r="1514" spans="3:3">
      <c r="C1514"/>
    </row>
    <row r="1515" spans="3:3">
      <c r="C1515"/>
    </row>
    <row r="1516" spans="3:3">
      <c r="C1516"/>
    </row>
    <row r="1517" spans="3:3">
      <c r="C1517"/>
    </row>
    <row r="1518" spans="3:3">
      <c r="C1518"/>
    </row>
    <row r="1519" spans="3:3">
      <c r="C1519"/>
    </row>
    <row r="1520" spans="3:3">
      <c r="C1520"/>
    </row>
    <row r="1521" spans="3:3">
      <c r="C1521"/>
    </row>
    <row r="1522" spans="3:3">
      <c r="C1522"/>
    </row>
    <row r="1523" spans="3:3">
      <c r="C1523"/>
    </row>
    <row r="1524" spans="3:3">
      <c r="C1524"/>
    </row>
    <row r="1525" spans="3:3">
      <c r="C1525"/>
    </row>
    <row r="1526" spans="3:3">
      <c r="C1526"/>
    </row>
    <row r="1527" spans="3:3">
      <c r="C1527"/>
    </row>
    <row r="1528" spans="3:3">
      <c r="C1528"/>
    </row>
    <row r="1529" spans="3:3">
      <c r="C1529"/>
    </row>
    <row r="1530" spans="3:3">
      <c r="C1530"/>
    </row>
    <row r="1531" spans="3:3">
      <c r="C1531"/>
    </row>
    <row r="1532" spans="3:3">
      <c r="C1532"/>
    </row>
    <row r="1533" spans="3:3">
      <c r="C1533"/>
    </row>
    <row r="1534" spans="3:3">
      <c r="C1534"/>
    </row>
    <row r="1535" spans="3:3">
      <c r="C1535"/>
    </row>
    <row r="1536" spans="3:3">
      <c r="C1536"/>
    </row>
    <row r="1537" spans="3:3">
      <c r="C1537"/>
    </row>
    <row r="1538" spans="3:3">
      <c r="C1538"/>
    </row>
    <row r="1539" spans="3:3">
      <c r="C1539"/>
    </row>
    <row r="1540" spans="3:3">
      <c r="C1540"/>
    </row>
    <row r="1541" spans="3:3">
      <c r="C1541"/>
    </row>
    <row r="1542" spans="3:3">
      <c r="C1542"/>
    </row>
    <row r="1543" spans="3:3">
      <c r="C1543"/>
    </row>
    <row r="1544" spans="3:3">
      <c r="C1544"/>
    </row>
    <row r="1545" spans="3:3">
      <c r="C1545"/>
    </row>
    <row r="1546" spans="3:3">
      <c r="C1546"/>
    </row>
    <row r="1547" spans="3:3">
      <c r="C1547"/>
    </row>
    <row r="1548" spans="3:3">
      <c r="C1548"/>
    </row>
    <row r="1549" spans="3:3">
      <c r="C1549"/>
    </row>
    <row r="1550" spans="3:3">
      <c r="C1550"/>
    </row>
    <row r="1551" spans="3:3">
      <c r="C1551"/>
    </row>
    <row r="1552" spans="3:3">
      <c r="C1552"/>
    </row>
    <row r="1553" spans="3:3">
      <c r="C1553"/>
    </row>
    <row r="1554" spans="3:3">
      <c r="C1554"/>
    </row>
    <row r="1555" spans="3:3">
      <c r="C1555"/>
    </row>
    <row r="1556" spans="3:3">
      <c r="C1556"/>
    </row>
    <row r="1557" spans="3:3">
      <c r="C1557"/>
    </row>
    <row r="1558" spans="3:3">
      <c r="C1558"/>
    </row>
    <row r="1559" spans="3:3">
      <c r="C1559"/>
    </row>
    <row r="1560" spans="3:3">
      <c r="C1560"/>
    </row>
    <row r="1561" spans="3:3">
      <c r="C1561"/>
    </row>
    <row r="1562" spans="3:3">
      <c r="C1562"/>
    </row>
    <row r="1563" spans="3:3">
      <c r="C1563"/>
    </row>
    <row r="1564" spans="3:3">
      <c r="C1564"/>
    </row>
    <row r="1565" spans="3:3">
      <c r="C1565"/>
    </row>
    <row r="1566" spans="3:3">
      <c r="C1566"/>
    </row>
    <row r="1567" spans="3:3">
      <c r="C1567"/>
    </row>
    <row r="1568" spans="3:3">
      <c r="C1568"/>
    </row>
    <row r="1569" spans="3:3">
      <c r="C1569"/>
    </row>
    <row r="1570" spans="3:3">
      <c r="C1570"/>
    </row>
    <row r="1571" spans="3:3">
      <c r="C1571"/>
    </row>
    <row r="1572" spans="3:3">
      <c r="C1572"/>
    </row>
    <row r="1573" spans="3:3">
      <c r="C1573"/>
    </row>
    <row r="1574" spans="3:3">
      <c r="C1574"/>
    </row>
    <row r="1575" spans="3:3">
      <c r="C1575"/>
    </row>
    <row r="1576" spans="3:3">
      <c r="C1576"/>
    </row>
    <row r="1577" spans="3:3">
      <c r="C1577"/>
    </row>
    <row r="1578" spans="3:3">
      <c r="C1578"/>
    </row>
    <row r="1579" spans="3:3">
      <c r="C1579"/>
    </row>
    <row r="1580" spans="3:3">
      <c r="C1580"/>
    </row>
    <row r="1581" spans="3:3">
      <c r="C1581"/>
    </row>
    <row r="1582" spans="3:3">
      <c r="C1582"/>
    </row>
    <row r="1583" spans="3:3">
      <c r="C1583"/>
    </row>
    <row r="1584" spans="3:3">
      <c r="C1584"/>
    </row>
    <row r="1585" spans="3:3">
      <c r="C1585"/>
    </row>
    <row r="1586" spans="3:3">
      <c r="C1586"/>
    </row>
    <row r="1587" spans="3:3">
      <c r="C1587"/>
    </row>
    <row r="1588" spans="3:3">
      <c r="C1588"/>
    </row>
    <row r="1589" spans="3:3">
      <c r="C1589"/>
    </row>
    <row r="1590" spans="3:3">
      <c r="C1590"/>
    </row>
    <row r="1591" spans="3:3">
      <c r="C1591"/>
    </row>
    <row r="1592" spans="3:3">
      <c r="C1592"/>
    </row>
    <row r="1593" spans="3:3">
      <c r="C1593"/>
    </row>
    <row r="1594" spans="3:3">
      <c r="C1594"/>
    </row>
    <row r="1595" spans="3:3">
      <c r="C1595"/>
    </row>
    <row r="1596" spans="3:3">
      <c r="C1596"/>
    </row>
    <row r="1597" spans="3:3">
      <c r="C1597"/>
    </row>
    <row r="1598" spans="3:3">
      <c r="C1598"/>
    </row>
    <row r="1599" spans="3:3">
      <c r="C1599"/>
    </row>
    <row r="1600" spans="3:3">
      <c r="C1600"/>
    </row>
    <row r="1601" spans="3:3">
      <c r="C1601"/>
    </row>
    <row r="1602" spans="3:3">
      <c r="C1602"/>
    </row>
    <row r="1603" spans="3:3">
      <c r="C1603"/>
    </row>
    <row r="1604" spans="3:3">
      <c r="C1604"/>
    </row>
    <row r="1605" spans="3:3">
      <c r="C1605"/>
    </row>
    <row r="1606" spans="3:3">
      <c r="C1606"/>
    </row>
    <row r="1607" spans="3:3">
      <c r="C1607"/>
    </row>
    <row r="1608" spans="3:3">
      <c r="C1608"/>
    </row>
    <row r="1609" spans="3:3">
      <c r="C1609"/>
    </row>
    <row r="1610" spans="3:3">
      <c r="C1610"/>
    </row>
    <row r="1611" spans="3:3">
      <c r="C1611"/>
    </row>
    <row r="1612" spans="3:3">
      <c r="C1612"/>
    </row>
    <row r="1613" spans="3:3">
      <c r="C1613"/>
    </row>
    <row r="1614" spans="3:3">
      <c r="C1614"/>
    </row>
    <row r="1615" spans="3:3">
      <c r="C1615"/>
    </row>
    <row r="1616" spans="3:3">
      <c r="C1616"/>
    </row>
    <row r="1617" spans="3:3">
      <c r="C1617"/>
    </row>
    <row r="1618" spans="3:3">
      <c r="C1618"/>
    </row>
    <row r="1619" spans="3:3">
      <c r="C1619"/>
    </row>
    <row r="1620" spans="3:3">
      <c r="C1620"/>
    </row>
    <row r="1621" spans="3:3">
      <c r="C1621"/>
    </row>
    <row r="1622" spans="3:3">
      <c r="C1622"/>
    </row>
    <row r="1623" spans="3:3">
      <c r="C1623"/>
    </row>
    <row r="1624" spans="3:3">
      <c r="C1624"/>
    </row>
    <row r="1625" spans="3:3">
      <c r="C1625"/>
    </row>
    <row r="1626" spans="3:3">
      <c r="C1626"/>
    </row>
    <row r="1627" spans="3:3">
      <c r="C1627"/>
    </row>
    <row r="1628" spans="3:3">
      <c r="C1628"/>
    </row>
    <row r="1629" spans="3:3">
      <c r="C1629"/>
    </row>
    <row r="1630" spans="3:3">
      <c r="C1630"/>
    </row>
    <row r="1631" spans="3:3">
      <c r="C1631"/>
    </row>
    <row r="1632" spans="3:3">
      <c r="C1632"/>
    </row>
    <row r="1633" spans="3:3">
      <c r="C1633"/>
    </row>
    <row r="1634" spans="3:3">
      <c r="C1634"/>
    </row>
    <row r="1635" spans="3:3">
      <c r="C1635"/>
    </row>
    <row r="1636" spans="3:3">
      <c r="C1636"/>
    </row>
    <row r="1637" spans="3:3">
      <c r="C1637"/>
    </row>
    <row r="1638" spans="3:3">
      <c r="C1638"/>
    </row>
    <row r="1639" spans="3:3">
      <c r="C1639"/>
    </row>
    <row r="1640" spans="3:3">
      <c r="C1640"/>
    </row>
    <row r="1641" spans="3:3">
      <c r="C1641"/>
    </row>
    <row r="1642" spans="3:3">
      <c r="C1642"/>
    </row>
    <row r="1643" spans="3:3">
      <c r="C1643"/>
    </row>
    <row r="1644" spans="3:3">
      <c r="C1644"/>
    </row>
    <row r="1645" spans="3:3">
      <c r="C1645"/>
    </row>
    <row r="1646" spans="3:3">
      <c r="C1646"/>
    </row>
    <row r="1647" spans="3:3">
      <c r="C1647"/>
    </row>
    <row r="1648" spans="3:3">
      <c r="C1648"/>
    </row>
    <row r="1649" spans="3:3">
      <c r="C1649"/>
    </row>
    <row r="1650" spans="3:3">
      <c r="C1650"/>
    </row>
    <row r="1651" spans="3:3">
      <c r="C1651"/>
    </row>
    <row r="1652" spans="3:3">
      <c r="C1652"/>
    </row>
    <row r="1653" spans="3:3">
      <c r="C1653"/>
    </row>
    <row r="1654" spans="3:3">
      <c r="C1654"/>
    </row>
    <row r="1655" spans="3:3">
      <c r="C1655"/>
    </row>
    <row r="1656" spans="3:3">
      <c r="C1656"/>
    </row>
    <row r="1657" spans="3:3">
      <c r="C1657"/>
    </row>
    <row r="1658" spans="3:3">
      <c r="C1658"/>
    </row>
    <row r="1659" spans="3:3">
      <c r="C1659"/>
    </row>
    <row r="1660" spans="3:3">
      <c r="C1660"/>
    </row>
    <row r="1661" spans="3:3">
      <c r="C1661"/>
    </row>
    <row r="1662" spans="3:3">
      <c r="C1662"/>
    </row>
    <row r="1663" spans="3:3">
      <c r="C1663"/>
    </row>
    <row r="1664" spans="3:3">
      <c r="C1664"/>
    </row>
    <row r="1665" spans="3:3">
      <c r="C1665"/>
    </row>
    <row r="1666" spans="3:3">
      <c r="C1666"/>
    </row>
    <row r="1667" spans="3:3">
      <c r="C1667"/>
    </row>
    <row r="1668" spans="3:3">
      <c r="C1668"/>
    </row>
    <row r="1669" spans="3:3">
      <c r="C1669"/>
    </row>
    <row r="1670" spans="3:3">
      <c r="C1670"/>
    </row>
    <row r="1671" spans="3:3">
      <c r="C1671"/>
    </row>
    <row r="1672" spans="3:3">
      <c r="C1672"/>
    </row>
    <row r="1673" spans="3:3">
      <c r="C1673"/>
    </row>
    <row r="1674" spans="3:3">
      <c r="C1674"/>
    </row>
    <row r="1675" spans="3:3">
      <c r="C1675"/>
    </row>
    <row r="1676" spans="3:3">
      <c r="C1676"/>
    </row>
    <row r="1677" spans="3:3">
      <c r="C1677"/>
    </row>
    <row r="1678" spans="3:3">
      <c r="C1678"/>
    </row>
    <row r="1679" spans="3:3">
      <c r="C1679"/>
    </row>
    <row r="1680" spans="3:3">
      <c r="C1680"/>
    </row>
    <row r="1681" spans="3:3">
      <c r="C1681"/>
    </row>
    <row r="1682" spans="3:3">
      <c r="C1682"/>
    </row>
    <row r="1683" spans="3:3">
      <c r="C1683"/>
    </row>
    <row r="1684" spans="3:3">
      <c r="C1684"/>
    </row>
    <row r="1685" spans="3:3">
      <c r="C1685"/>
    </row>
    <row r="1686" spans="3:3">
      <c r="C1686"/>
    </row>
    <row r="1687" spans="3:3">
      <c r="C1687"/>
    </row>
    <row r="1688" spans="3:3">
      <c r="C1688"/>
    </row>
    <row r="1689" spans="3:3">
      <c r="C1689"/>
    </row>
    <row r="1690" spans="3:3">
      <c r="C1690"/>
    </row>
    <row r="1691" spans="3:3">
      <c r="C1691"/>
    </row>
    <row r="1692" spans="3:3">
      <c r="C1692"/>
    </row>
    <row r="1693" spans="3:3">
      <c r="C1693"/>
    </row>
    <row r="1694" spans="3:3">
      <c r="C1694"/>
    </row>
    <row r="1695" spans="3:3">
      <c r="C1695"/>
    </row>
    <row r="1696" spans="3:3">
      <c r="C1696"/>
    </row>
    <row r="1697" spans="3:3">
      <c r="C1697"/>
    </row>
    <row r="1698" spans="3:3">
      <c r="C1698"/>
    </row>
    <row r="1699" spans="3:3">
      <c r="C1699"/>
    </row>
    <row r="1700" spans="3:3">
      <c r="C1700"/>
    </row>
    <row r="1701" spans="3:3">
      <c r="C1701"/>
    </row>
    <row r="1702" spans="3:3">
      <c r="C1702"/>
    </row>
    <row r="1703" spans="3:3">
      <c r="C1703"/>
    </row>
    <row r="1704" spans="3:3">
      <c r="C1704"/>
    </row>
    <row r="1705" spans="3:3">
      <c r="C1705"/>
    </row>
    <row r="1706" spans="3:3">
      <c r="C1706"/>
    </row>
    <row r="1707" spans="3:3">
      <c r="C1707"/>
    </row>
    <row r="1708" spans="3:3">
      <c r="C1708"/>
    </row>
    <row r="1709" spans="3:3">
      <c r="C1709"/>
    </row>
    <row r="1710" spans="3:3">
      <c r="C1710"/>
    </row>
    <row r="1711" spans="3:3">
      <c r="C1711"/>
    </row>
    <row r="1712" spans="3:3">
      <c r="C1712"/>
    </row>
    <row r="1713" spans="3:3">
      <c r="C1713"/>
    </row>
    <row r="1714" spans="3:3">
      <c r="C1714"/>
    </row>
    <row r="1715" spans="3:3">
      <c r="C1715"/>
    </row>
    <row r="1716" spans="3:3">
      <c r="C1716"/>
    </row>
    <row r="1717" spans="3:3">
      <c r="C1717"/>
    </row>
    <row r="1718" spans="3:3">
      <c r="C1718"/>
    </row>
    <row r="1719" spans="3:3">
      <c r="C1719"/>
    </row>
    <row r="1720" spans="3:3">
      <c r="C1720"/>
    </row>
    <row r="1721" spans="3:3">
      <c r="C1721"/>
    </row>
    <row r="1722" spans="3:3">
      <c r="C1722"/>
    </row>
    <row r="1723" spans="3:3">
      <c r="C1723"/>
    </row>
    <row r="1724" spans="3:3">
      <c r="C1724"/>
    </row>
    <row r="1725" spans="3:3">
      <c r="C1725"/>
    </row>
    <row r="1726" spans="3:3">
      <c r="C1726"/>
    </row>
    <row r="1727" spans="3:3">
      <c r="C1727"/>
    </row>
    <row r="1728" spans="3:3">
      <c r="C1728"/>
    </row>
    <row r="1729" spans="3:3">
      <c r="C1729"/>
    </row>
    <row r="1730" spans="3:3">
      <c r="C1730"/>
    </row>
    <row r="1731" spans="3:3">
      <c r="C1731"/>
    </row>
    <row r="1732" spans="3:3">
      <c r="C1732"/>
    </row>
    <row r="1733" spans="3:3">
      <c r="C1733"/>
    </row>
    <row r="1734" spans="3:3">
      <c r="C1734"/>
    </row>
    <row r="1735" spans="3:3">
      <c r="C1735"/>
    </row>
    <row r="1736" spans="3:3">
      <c r="C1736"/>
    </row>
    <row r="1737" spans="3:3">
      <c r="C1737"/>
    </row>
    <row r="1738" spans="3:3">
      <c r="C1738"/>
    </row>
    <row r="1739" spans="3:3">
      <c r="C1739"/>
    </row>
    <row r="1740" spans="3:3">
      <c r="C1740"/>
    </row>
    <row r="1741" spans="3:3">
      <c r="C1741"/>
    </row>
    <row r="1742" spans="3:3">
      <c r="C1742"/>
    </row>
    <row r="1743" spans="3:3">
      <c r="C1743"/>
    </row>
    <row r="1744" spans="3:3">
      <c r="C1744"/>
    </row>
    <row r="1745" spans="3:3">
      <c r="C1745"/>
    </row>
    <row r="1746" spans="3:3">
      <c r="C1746"/>
    </row>
    <row r="1747" spans="3:3">
      <c r="C1747"/>
    </row>
    <row r="1748" spans="3:3">
      <c r="C1748"/>
    </row>
    <row r="1749" spans="3:3">
      <c r="C1749"/>
    </row>
    <row r="1750" spans="3:3">
      <c r="C1750"/>
    </row>
    <row r="1751" spans="3:3">
      <c r="C1751"/>
    </row>
    <row r="1752" spans="3:3">
      <c r="C1752"/>
    </row>
    <row r="1753" spans="3:3">
      <c r="C1753"/>
    </row>
    <row r="1754" spans="3:3">
      <c r="C1754"/>
    </row>
    <row r="1755" spans="3:3">
      <c r="C1755"/>
    </row>
    <row r="1756" spans="3:3">
      <c r="C1756"/>
    </row>
    <row r="1757" spans="3:3">
      <c r="C1757"/>
    </row>
    <row r="1758" spans="3:3">
      <c r="C1758"/>
    </row>
    <row r="1759" spans="3:3">
      <c r="C1759"/>
    </row>
    <row r="1760" spans="3:3">
      <c r="C1760"/>
    </row>
    <row r="1761" spans="3:3">
      <c r="C1761"/>
    </row>
    <row r="1762" spans="3:3">
      <c r="C1762"/>
    </row>
    <row r="1763" spans="3:3">
      <c r="C1763"/>
    </row>
    <row r="1764" spans="3:3">
      <c r="C1764"/>
    </row>
    <row r="1765" spans="3:3">
      <c r="C1765"/>
    </row>
    <row r="1766" spans="3:3">
      <c r="C1766"/>
    </row>
    <row r="1767" spans="3:3">
      <c r="C1767"/>
    </row>
    <row r="1768" spans="3:3">
      <c r="C1768"/>
    </row>
    <row r="1769" spans="3:3">
      <c r="C1769"/>
    </row>
    <row r="1770" spans="3:3">
      <c r="C1770"/>
    </row>
    <row r="1771" spans="3:3">
      <c r="C1771"/>
    </row>
    <row r="1772" spans="3:3">
      <c r="C1772"/>
    </row>
    <row r="1773" spans="3:3">
      <c r="C1773"/>
    </row>
    <row r="1774" spans="3:3">
      <c r="C1774"/>
    </row>
    <row r="1775" spans="3:3">
      <c r="C1775"/>
    </row>
    <row r="1776" spans="3:3">
      <c r="C1776"/>
    </row>
    <row r="1777" spans="3:3">
      <c r="C1777"/>
    </row>
    <row r="1778" spans="3:3">
      <c r="C1778"/>
    </row>
    <row r="1779" spans="3:3">
      <c r="C1779"/>
    </row>
    <row r="1780" spans="3:3">
      <c r="C1780"/>
    </row>
    <row r="1781" spans="3:3">
      <c r="C1781"/>
    </row>
    <row r="1782" spans="3:3">
      <c r="C1782"/>
    </row>
    <row r="1783" spans="3:3">
      <c r="C1783"/>
    </row>
    <row r="1784" spans="3:3">
      <c r="C1784"/>
    </row>
    <row r="1785" spans="3:3">
      <c r="C1785"/>
    </row>
    <row r="1786" spans="3:3">
      <c r="C1786"/>
    </row>
    <row r="1787" spans="3:3">
      <c r="C1787"/>
    </row>
    <row r="1788" spans="3:3">
      <c r="C1788"/>
    </row>
    <row r="1789" spans="3:3">
      <c r="C1789"/>
    </row>
    <row r="1790" spans="3:3">
      <c r="C1790"/>
    </row>
    <row r="1791" spans="3:3">
      <c r="C1791"/>
    </row>
    <row r="1792" spans="3:3">
      <c r="C1792"/>
    </row>
    <row r="1793" spans="3:3">
      <c r="C1793"/>
    </row>
    <row r="1794" spans="3:3">
      <c r="C1794"/>
    </row>
    <row r="1795" spans="3:3">
      <c r="C1795"/>
    </row>
    <row r="1796" spans="3:3">
      <c r="C1796"/>
    </row>
    <row r="1797" spans="3:3">
      <c r="C1797"/>
    </row>
    <row r="1798" spans="3:3">
      <c r="C1798"/>
    </row>
    <row r="1799" spans="3:3">
      <c r="C1799"/>
    </row>
    <row r="1800" spans="3:3">
      <c r="C1800"/>
    </row>
    <row r="1801" spans="3:3">
      <c r="C1801"/>
    </row>
    <row r="1802" spans="3:3">
      <c r="C1802"/>
    </row>
    <row r="1803" spans="3:3">
      <c r="C1803"/>
    </row>
    <row r="1804" spans="3:3">
      <c r="C1804"/>
    </row>
    <row r="1805" spans="3:3">
      <c r="C1805"/>
    </row>
    <row r="1806" spans="3:3">
      <c r="C1806"/>
    </row>
    <row r="1807" spans="3:3">
      <c r="C1807"/>
    </row>
    <row r="1808" spans="3:3">
      <c r="C1808"/>
    </row>
    <row r="1809" spans="3:3">
      <c r="C1809"/>
    </row>
    <row r="1810" spans="3:3">
      <c r="C1810"/>
    </row>
    <row r="1811" spans="3:3">
      <c r="C1811"/>
    </row>
    <row r="1812" spans="3:3">
      <c r="C1812"/>
    </row>
    <row r="1813" spans="3:3">
      <c r="C1813"/>
    </row>
    <row r="1814" spans="3:3">
      <c r="C1814"/>
    </row>
    <row r="1815" spans="3:3">
      <c r="C1815"/>
    </row>
    <row r="1816" spans="3:3">
      <c r="C1816"/>
    </row>
    <row r="1817" spans="3:3">
      <c r="C1817"/>
    </row>
    <row r="1818" spans="3:3">
      <c r="C1818"/>
    </row>
    <row r="1819" spans="3:3">
      <c r="C1819"/>
    </row>
    <row r="1820" spans="3:3">
      <c r="C1820"/>
    </row>
    <row r="1821" spans="3:3">
      <c r="C1821"/>
    </row>
    <row r="1822" spans="3:3">
      <c r="C1822"/>
    </row>
    <row r="1823" spans="3:3">
      <c r="C1823"/>
    </row>
    <row r="1824" spans="3:3">
      <c r="C1824"/>
    </row>
    <row r="1825" spans="3:3">
      <c r="C1825"/>
    </row>
    <row r="1826" spans="3:3">
      <c r="C1826"/>
    </row>
    <row r="1827" spans="3:3">
      <c r="C1827"/>
    </row>
    <row r="1828" spans="3:3">
      <c r="C1828"/>
    </row>
    <row r="1829" spans="3:3">
      <c r="C1829"/>
    </row>
    <row r="1830" spans="3:3">
      <c r="C1830"/>
    </row>
    <row r="1831" spans="3:3">
      <c r="C1831"/>
    </row>
    <row r="1832" spans="3:3">
      <c r="C1832"/>
    </row>
    <row r="1833" spans="3:3">
      <c r="C1833"/>
    </row>
    <row r="1834" spans="3:3">
      <c r="C1834"/>
    </row>
    <row r="1835" spans="3:3">
      <c r="C1835"/>
    </row>
    <row r="1836" spans="3:3">
      <c r="C1836"/>
    </row>
    <row r="1837" spans="3:3">
      <c r="C1837"/>
    </row>
    <row r="1838" spans="3:3">
      <c r="C1838"/>
    </row>
    <row r="1839" spans="3:3">
      <c r="C1839"/>
    </row>
    <row r="1840" spans="3:3">
      <c r="C1840"/>
    </row>
    <row r="1841" spans="3:3">
      <c r="C1841"/>
    </row>
    <row r="1842" spans="3:3">
      <c r="C1842"/>
    </row>
    <row r="1843" spans="3:3">
      <c r="C1843"/>
    </row>
    <row r="1844" spans="3:3">
      <c r="C1844"/>
    </row>
    <row r="1845" spans="3:3">
      <c r="C1845"/>
    </row>
    <row r="1846" spans="3:3">
      <c r="C1846"/>
    </row>
    <row r="1847" spans="3:3">
      <c r="C1847"/>
    </row>
    <row r="1848" spans="3:3">
      <c r="C1848"/>
    </row>
    <row r="1849" spans="3:3">
      <c r="C1849"/>
    </row>
    <row r="1850" spans="3:3">
      <c r="C1850"/>
    </row>
    <row r="1851" spans="3:3">
      <c r="C1851"/>
    </row>
    <row r="1852" spans="3:3">
      <c r="C1852"/>
    </row>
    <row r="1853" spans="3:3">
      <c r="C1853"/>
    </row>
    <row r="1854" spans="3:3">
      <c r="C1854"/>
    </row>
    <row r="1855" spans="3:3">
      <c r="C1855"/>
    </row>
    <row r="1856" spans="3:3">
      <c r="C1856"/>
    </row>
    <row r="1857" spans="3:3">
      <c r="C1857"/>
    </row>
    <row r="1858" spans="3:3">
      <c r="C1858"/>
    </row>
    <row r="1859" spans="3:3">
      <c r="C1859"/>
    </row>
    <row r="1860" spans="3:3">
      <c r="C1860"/>
    </row>
    <row r="1861" spans="3:3">
      <c r="C1861"/>
    </row>
    <row r="1862" spans="3:3">
      <c r="C1862"/>
    </row>
    <row r="1863" spans="3:3">
      <c r="C1863"/>
    </row>
    <row r="1864" spans="3:3">
      <c r="C1864"/>
    </row>
    <row r="1865" spans="3:3">
      <c r="C1865"/>
    </row>
    <row r="1866" spans="3:3">
      <c r="C1866"/>
    </row>
    <row r="1867" spans="3:3">
      <c r="C1867"/>
    </row>
    <row r="1868" spans="3:3">
      <c r="C1868"/>
    </row>
    <row r="1869" spans="3:3">
      <c r="C1869"/>
    </row>
    <row r="1870" spans="3:3">
      <c r="C1870"/>
    </row>
    <row r="1871" spans="3:3">
      <c r="C1871"/>
    </row>
    <row r="1872" spans="3:3">
      <c r="C1872"/>
    </row>
    <row r="1873" spans="3:3">
      <c r="C1873"/>
    </row>
    <row r="1874" spans="3:3">
      <c r="C1874"/>
    </row>
    <row r="1875" spans="3:3">
      <c r="C1875"/>
    </row>
    <row r="1876" spans="3:3">
      <c r="C1876"/>
    </row>
    <row r="1877" spans="3:3">
      <c r="C1877"/>
    </row>
    <row r="1878" spans="3:3">
      <c r="C1878"/>
    </row>
    <row r="1879" spans="3:3">
      <c r="C1879"/>
    </row>
    <row r="1880" spans="3:3">
      <c r="C1880"/>
    </row>
    <row r="1881" spans="3:3">
      <c r="C1881"/>
    </row>
    <row r="1882" spans="3:3">
      <c r="C1882"/>
    </row>
    <row r="1883" spans="3:3">
      <c r="C1883"/>
    </row>
    <row r="1884" spans="3:3">
      <c r="C1884"/>
    </row>
    <row r="1885" spans="3:3">
      <c r="C1885"/>
    </row>
    <row r="1886" spans="3:3">
      <c r="C1886"/>
    </row>
    <row r="1887" spans="3:3">
      <c r="C1887"/>
    </row>
    <row r="1888" spans="3:3">
      <c r="C1888"/>
    </row>
    <row r="1889" spans="3:3">
      <c r="C1889"/>
    </row>
    <row r="1890" spans="3:3">
      <c r="C1890"/>
    </row>
    <row r="1891" spans="3:3">
      <c r="C1891"/>
    </row>
    <row r="1892" spans="3:3">
      <c r="C1892"/>
    </row>
    <row r="1893" spans="3:3">
      <c r="C1893"/>
    </row>
    <row r="1894" spans="3:3">
      <c r="C1894"/>
    </row>
    <row r="1895" spans="3:3">
      <c r="C1895"/>
    </row>
    <row r="1896" spans="3:3">
      <c r="C1896"/>
    </row>
    <row r="1897" spans="3:3">
      <c r="C1897"/>
    </row>
    <row r="1898" spans="3:3">
      <c r="C1898"/>
    </row>
    <row r="1899" spans="3:3">
      <c r="C1899"/>
    </row>
    <row r="1900" spans="3:3">
      <c r="C1900"/>
    </row>
    <row r="1901" spans="3:3">
      <c r="C1901"/>
    </row>
    <row r="1902" spans="3:3">
      <c r="C1902"/>
    </row>
    <row r="1903" spans="3:3">
      <c r="C1903"/>
    </row>
    <row r="1904" spans="3:3">
      <c r="C1904"/>
    </row>
    <row r="1905" spans="3:3">
      <c r="C1905"/>
    </row>
    <row r="1906" spans="3:3">
      <c r="C1906"/>
    </row>
    <row r="1907" spans="3:3">
      <c r="C1907"/>
    </row>
    <row r="1908" spans="3:3">
      <c r="C1908"/>
    </row>
    <row r="1909" spans="3:3">
      <c r="C1909"/>
    </row>
    <row r="1910" spans="3:3">
      <c r="C1910"/>
    </row>
    <row r="1911" spans="3:3">
      <c r="C1911"/>
    </row>
    <row r="1912" spans="3:3">
      <c r="C1912"/>
    </row>
    <row r="1913" spans="3:3">
      <c r="C1913"/>
    </row>
    <row r="1914" spans="3:3">
      <c r="C1914"/>
    </row>
    <row r="1915" spans="3:3">
      <c r="C1915"/>
    </row>
    <row r="1916" spans="3:3">
      <c r="C1916"/>
    </row>
    <row r="1917" spans="3:3">
      <c r="C1917"/>
    </row>
    <row r="1918" spans="3:3">
      <c r="C1918"/>
    </row>
    <row r="1919" spans="3:3">
      <c r="C1919"/>
    </row>
    <row r="1920" spans="3:3">
      <c r="C1920"/>
    </row>
    <row r="1921" spans="3:3">
      <c r="C1921"/>
    </row>
    <row r="1922" spans="3:3">
      <c r="C1922"/>
    </row>
    <row r="1923" spans="3:3">
      <c r="C1923"/>
    </row>
    <row r="1924" spans="3:3">
      <c r="C1924"/>
    </row>
    <row r="1925" spans="3:3">
      <c r="C1925"/>
    </row>
    <row r="1926" spans="3:3">
      <c r="C1926"/>
    </row>
    <row r="1927" spans="3:3">
      <c r="C1927"/>
    </row>
    <row r="1928" spans="3:3">
      <c r="C1928"/>
    </row>
    <row r="1929" spans="3:3">
      <c r="C1929"/>
    </row>
    <row r="1930" spans="3:3">
      <c r="C1930"/>
    </row>
    <row r="1931" spans="3:3">
      <c r="C1931"/>
    </row>
    <row r="1932" spans="3:3">
      <c r="C1932"/>
    </row>
    <row r="1933" spans="3:3">
      <c r="C1933"/>
    </row>
    <row r="1934" spans="3:3">
      <c r="C1934"/>
    </row>
    <row r="1935" spans="3:3">
      <c r="C1935"/>
    </row>
    <row r="1936" spans="3:3">
      <c r="C1936"/>
    </row>
    <row r="1937" spans="3:3">
      <c r="C1937"/>
    </row>
    <row r="1938" spans="3:3">
      <c r="C1938"/>
    </row>
    <row r="1939" spans="3:3">
      <c r="C1939"/>
    </row>
    <row r="1940" spans="3:3">
      <c r="C1940"/>
    </row>
    <row r="1941" spans="3:3">
      <c r="C1941"/>
    </row>
    <row r="1942" spans="3:3">
      <c r="C1942"/>
    </row>
    <row r="1943" spans="3:3">
      <c r="C1943"/>
    </row>
    <row r="1944" spans="3:3">
      <c r="C1944"/>
    </row>
    <row r="1945" spans="3:3">
      <c r="C1945"/>
    </row>
    <row r="1946" spans="3:3">
      <c r="C1946"/>
    </row>
    <row r="1947" spans="3:3">
      <c r="C1947"/>
    </row>
    <row r="1948" spans="3:3">
      <c r="C1948"/>
    </row>
    <row r="1949" spans="3:3">
      <c r="C1949"/>
    </row>
    <row r="1950" spans="3:3">
      <c r="C1950"/>
    </row>
    <row r="1951" spans="3:3">
      <c r="C1951"/>
    </row>
    <row r="1952" spans="3:3">
      <c r="C1952"/>
    </row>
    <row r="1953" spans="3:3">
      <c r="C1953"/>
    </row>
    <row r="1954" spans="3:3">
      <c r="C1954"/>
    </row>
    <row r="1955" spans="3:3">
      <c r="C1955"/>
    </row>
    <row r="1956" spans="3:3">
      <c r="C1956"/>
    </row>
    <row r="1957" spans="3:3">
      <c r="C1957"/>
    </row>
    <row r="1958" spans="3:3">
      <c r="C1958"/>
    </row>
    <row r="1959" spans="3:3">
      <c r="C1959"/>
    </row>
    <row r="1960" spans="3:3">
      <c r="C1960"/>
    </row>
    <row r="1961" spans="3:3">
      <c r="C1961"/>
    </row>
    <row r="1962" spans="3:3">
      <c r="C1962"/>
    </row>
    <row r="1963" spans="3:3">
      <c r="C1963"/>
    </row>
    <row r="1964" spans="3:3">
      <c r="C1964"/>
    </row>
    <row r="1965" spans="3:3">
      <c r="C1965"/>
    </row>
    <row r="1966" spans="3:3">
      <c r="C1966"/>
    </row>
    <row r="1967" spans="3:3">
      <c r="C1967"/>
    </row>
    <row r="1968" spans="3:3">
      <c r="C1968"/>
    </row>
    <row r="1969" spans="3:3">
      <c r="C1969"/>
    </row>
    <row r="1970" spans="3:3">
      <c r="C1970"/>
    </row>
    <row r="1971" spans="3:3">
      <c r="C1971"/>
    </row>
    <row r="1972" spans="3:3">
      <c r="C1972"/>
    </row>
    <row r="1973" spans="3:3">
      <c r="C1973"/>
    </row>
    <row r="1974" spans="3:3">
      <c r="C1974"/>
    </row>
    <row r="1975" spans="3:3">
      <c r="C1975"/>
    </row>
    <row r="1976" spans="3:3">
      <c r="C1976"/>
    </row>
    <row r="1977" spans="3:3">
      <c r="C1977"/>
    </row>
    <row r="1978" spans="3:3">
      <c r="C1978"/>
    </row>
    <row r="1979" spans="3:3">
      <c r="C1979"/>
    </row>
    <row r="1980" spans="3:3">
      <c r="C1980"/>
    </row>
    <row r="1981" spans="3:3">
      <c r="C1981"/>
    </row>
    <row r="1982" spans="3:3">
      <c r="C1982"/>
    </row>
    <row r="1983" spans="3:3">
      <c r="C1983"/>
    </row>
    <row r="1984" spans="3:3">
      <c r="C1984"/>
    </row>
    <row r="1985" spans="3:3">
      <c r="C1985"/>
    </row>
    <row r="1986" spans="3:3">
      <c r="C1986"/>
    </row>
    <row r="1987" spans="3:3">
      <c r="C1987"/>
    </row>
    <row r="1988" spans="3:3">
      <c r="C1988"/>
    </row>
    <row r="1989" spans="3:3">
      <c r="C1989"/>
    </row>
    <row r="1990" spans="3:3">
      <c r="C1990"/>
    </row>
    <row r="1991" spans="3:3">
      <c r="C1991"/>
    </row>
    <row r="1992" spans="3:3">
      <c r="C1992"/>
    </row>
    <row r="1993" spans="3:3">
      <c r="C1993"/>
    </row>
    <row r="1994" spans="3:3">
      <c r="C1994"/>
    </row>
    <row r="1995" spans="3:3">
      <c r="C1995"/>
    </row>
    <row r="1996" spans="3:3">
      <c r="C1996"/>
    </row>
    <row r="1997" spans="3:3">
      <c r="C1997"/>
    </row>
    <row r="1998" spans="3:3">
      <c r="C1998"/>
    </row>
    <row r="1999" spans="3:3">
      <c r="C1999"/>
    </row>
    <row r="2000" spans="3:3">
      <c r="C2000"/>
    </row>
    <row r="2001" spans="3:3">
      <c r="C2001"/>
    </row>
    <row r="2002" spans="3:3">
      <c r="C2002"/>
    </row>
    <row r="2003" spans="3:3">
      <c r="C2003"/>
    </row>
    <row r="2004" spans="3:3">
      <c r="C2004"/>
    </row>
    <row r="2005" spans="3:3">
      <c r="C2005"/>
    </row>
    <row r="2006" spans="3:3">
      <c r="C2006"/>
    </row>
    <row r="2007" spans="3:3">
      <c r="C2007"/>
    </row>
    <row r="2008" spans="3:3">
      <c r="C2008"/>
    </row>
    <row r="2009" spans="3:3">
      <c r="C2009"/>
    </row>
    <row r="2010" spans="3:3">
      <c r="C2010"/>
    </row>
    <row r="2011" spans="3:3">
      <c r="C2011"/>
    </row>
    <row r="2012" spans="3:3">
      <c r="C2012"/>
    </row>
    <row r="2013" spans="3:3">
      <c r="C2013"/>
    </row>
    <row r="2014" spans="3:3">
      <c r="C2014"/>
    </row>
    <row r="2015" spans="3:3">
      <c r="C2015"/>
    </row>
    <row r="2016" spans="3:3">
      <c r="C2016"/>
    </row>
    <row r="2017" spans="3:3">
      <c r="C2017"/>
    </row>
    <row r="2018" spans="3:3">
      <c r="C2018"/>
    </row>
    <row r="2019" spans="3:3">
      <c r="C2019"/>
    </row>
    <row r="2020" spans="3:3">
      <c r="C2020"/>
    </row>
    <row r="2021" spans="3:3">
      <c r="C2021"/>
    </row>
    <row r="2022" spans="3:3">
      <c r="C2022"/>
    </row>
    <row r="2023" spans="3:3">
      <c r="C2023"/>
    </row>
    <row r="2024" spans="3:3">
      <c r="C2024"/>
    </row>
    <row r="2025" spans="3:3">
      <c r="C2025"/>
    </row>
    <row r="2026" spans="3:3">
      <c r="C2026"/>
    </row>
    <row r="2027" spans="3:3">
      <c r="C2027"/>
    </row>
    <row r="2028" spans="3:3">
      <c r="C2028"/>
    </row>
    <row r="2029" spans="3:3">
      <c r="C2029"/>
    </row>
    <row r="2030" spans="3:3">
      <c r="C2030"/>
    </row>
    <row r="2031" spans="3:3">
      <c r="C2031"/>
    </row>
    <row r="2032" spans="3:3">
      <c r="C2032"/>
    </row>
    <row r="2033" spans="3:3">
      <c r="C2033"/>
    </row>
    <row r="2034" spans="3:3">
      <c r="C2034"/>
    </row>
    <row r="2035" spans="3:3">
      <c r="C2035"/>
    </row>
    <row r="2036" spans="3:3">
      <c r="C2036"/>
    </row>
    <row r="2037" spans="3:3">
      <c r="C2037"/>
    </row>
    <row r="2038" spans="3:3">
      <c r="C2038"/>
    </row>
    <row r="2039" spans="3:3">
      <c r="C2039"/>
    </row>
    <row r="2040" spans="3:3">
      <c r="C2040"/>
    </row>
    <row r="2041" spans="3:3">
      <c r="C2041"/>
    </row>
    <row r="2042" spans="3:3">
      <c r="C2042"/>
    </row>
    <row r="2043" spans="3:3">
      <c r="C2043"/>
    </row>
    <row r="2044" spans="3:3">
      <c r="C2044"/>
    </row>
    <row r="2045" spans="3:3">
      <c r="C2045"/>
    </row>
    <row r="2046" spans="3:3">
      <c r="C2046"/>
    </row>
    <row r="2047" spans="3:3">
      <c r="C2047"/>
    </row>
    <row r="2048" spans="3:3">
      <c r="C2048"/>
    </row>
    <row r="2049" spans="3:3">
      <c r="C2049"/>
    </row>
    <row r="2050" spans="3:3">
      <c r="C2050"/>
    </row>
    <row r="2051" spans="3:3">
      <c r="C2051"/>
    </row>
    <row r="2052" spans="3:3">
      <c r="C2052"/>
    </row>
    <row r="2053" spans="3:3">
      <c r="C2053"/>
    </row>
    <row r="2054" spans="3:3">
      <c r="C2054"/>
    </row>
    <row r="2055" spans="3:3">
      <c r="C2055"/>
    </row>
    <row r="2056" spans="3:3">
      <c r="C2056"/>
    </row>
    <row r="2057" spans="3:3">
      <c r="C2057"/>
    </row>
    <row r="2058" spans="3:3">
      <c r="C2058"/>
    </row>
    <row r="2059" spans="3:3">
      <c r="C2059"/>
    </row>
    <row r="2060" spans="3:3">
      <c r="C2060"/>
    </row>
    <row r="2061" spans="3:3">
      <c r="C2061"/>
    </row>
    <row r="2062" spans="3:3">
      <c r="C2062"/>
    </row>
    <row r="2063" spans="3:3">
      <c r="C2063"/>
    </row>
    <row r="2064" spans="3:3">
      <c r="C2064"/>
    </row>
    <row r="2065" spans="3:3">
      <c r="C2065"/>
    </row>
    <row r="2066" spans="3:3">
      <c r="C2066"/>
    </row>
    <row r="2067" spans="3:3">
      <c r="C2067"/>
    </row>
    <row r="2068" spans="3:3">
      <c r="C2068"/>
    </row>
    <row r="2069" spans="3:3">
      <c r="C2069"/>
    </row>
    <row r="2070" spans="3:3">
      <c r="C2070"/>
    </row>
    <row r="2071" spans="3:3">
      <c r="C2071"/>
    </row>
    <row r="2072" spans="3:3">
      <c r="C2072"/>
    </row>
    <row r="2073" spans="3:3">
      <c r="C2073"/>
    </row>
    <row r="2074" spans="3:3">
      <c r="C2074"/>
    </row>
    <row r="2075" spans="3:3">
      <c r="C2075"/>
    </row>
    <row r="2076" spans="3:3">
      <c r="C2076"/>
    </row>
    <row r="2077" spans="3:3">
      <c r="C2077"/>
    </row>
    <row r="2078" spans="3:3">
      <c r="C2078"/>
    </row>
    <row r="2079" spans="3:3">
      <c r="C2079"/>
    </row>
    <row r="2080" spans="3:3">
      <c r="C2080"/>
    </row>
    <row r="2081" spans="3:3">
      <c r="C2081"/>
    </row>
    <row r="2082" spans="3:3">
      <c r="C2082"/>
    </row>
    <row r="2083" spans="3:3">
      <c r="C2083"/>
    </row>
    <row r="2084" spans="3:3">
      <c r="C2084"/>
    </row>
    <row r="2085" spans="3:3">
      <c r="C2085"/>
    </row>
    <row r="2086" spans="3:3">
      <c r="C2086"/>
    </row>
    <row r="2087" spans="3:3">
      <c r="C2087"/>
    </row>
    <row r="2088" spans="3:3">
      <c r="C2088"/>
    </row>
    <row r="2089" spans="3:3">
      <c r="C2089"/>
    </row>
    <row r="2090" spans="3:3">
      <c r="C2090"/>
    </row>
    <row r="2091" spans="3:3">
      <c r="C2091"/>
    </row>
    <row r="2092" spans="3:3">
      <c r="C2092"/>
    </row>
    <row r="2093" spans="3:3">
      <c r="C2093"/>
    </row>
    <row r="2094" spans="3:3">
      <c r="C2094"/>
    </row>
    <row r="2095" spans="3:3">
      <c r="C2095"/>
    </row>
    <row r="2096" spans="3:3">
      <c r="C2096"/>
    </row>
    <row r="2097" spans="3:3">
      <c r="C2097"/>
    </row>
    <row r="2098" spans="3:3">
      <c r="C2098"/>
    </row>
    <row r="2099" spans="3:3">
      <c r="C2099"/>
    </row>
    <row r="2100" spans="3:3">
      <c r="C2100"/>
    </row>
    <row r="2101" spans="3:3">
      <c r="C2101"/>
    </row>
    <row r="2102" spans="3:3">
      <c r="C2102"/>
    </row>
    <row r="2103" spans="3:3">
      <c r="C2103"/>
    </row>
    <row r="2104" spans="3:3">
      <c r="C2104"/>
    </row>
    <row r="2105" spans="3:3">
      <c r="C2105"/>
    </row>
    <row r="2106" spans="3:3">
      <c r="C2106"/>
    </row>
    <row r="2107" spans="3:3">
      <c r="C2107"/>
    </row>
    <row r="2108" spans="3:3">
      <c r="C2108"/>
    </row>
    <row r="2109" spans="3:3">
      <c r="C2109"/>
    </row>
    <row r="2110" spans="3:3">
      <c r="C2110"/>
    </row>
    <row r="2111" spans="3:3">
      <c r="C2111"/>
    </row>
    <row r="2112" spans="3:3">
      <c r="C2112"/>
    </row>
    <row r="2113" spans="3:3">
      <c r="C2113"/>
    </row>
    <row r="2114" spans="3:3">
      <c r="C2114"/>
    </row>
    <row r="2115" spans="3:3">
      <c r="C2115"/>
    </row>
    <row r="2116" spans="3:3">
      <c r="C2116"/>
    </row>
    <row r="2117" spans="3:3">
      <c r="C2117"/>
    </row>
    <row r="2118" spans="3:3">
      <c r="C2118"/>
    </row>
    <row r="2119" spans="3:3">
      <c r="C2119"/>
    </row>
    <row r="2120" spans="3:3">
      <c r="C2120"/>
    </row>
    <row r="2121" spans="3:3">
      <c r="C2121"/>
    </row>
    <row r="2122" spans="3:3">
      <c r="C2122"/>
    </row>
    <row r="2123" spans="3:3">
      <c r="C2123"/>
    </row>
    <row r="2124" spans="3:3">
      <c r="C2124"/>
    </row>
    <row r="2125" spans="3:3">
      <c r="C2125"/>
    </row>
    <row r="2126" spans="3:3">
      <c r="C2126"/>
    </row>
    <row r="2127" spans="3:3">
      <c r="C2127"/>
    </row>
    <row r="2128" spans="3:3">
      <c r="C2128"/>
    </row>
    <row r="2129" spans="3:3">
      <c r="C2129"/>
    </row>
    <row r="2130" spans="3:3">
      <c r="C2130"/>
    </row>
    <row r="2131" spans="3:3">
      <c r="C2131"/>
    </row>
    <row r="2132" spans="3:3">
      <c r="C2132"/>
    </row>
    <row r="2133" spans="3:3">
      <c r="C2133"/>
    </row>
    <row r="2134" spans="3:3">
      <c r="C2134"/>
    </row>
    <row r="2135" spans="3:3">
      <c r="C2135"/>
    </row>
    <row r="2136" spans="3:3">
      <c r="C2136"/>
    </row>
    <row r="2137" spans="3:3">
      <c r="C2137"/>
    </row>
    <row r="2138" spans="3:3">
      <c r="C2138"/>
    </row>
    <row r="2139" spans="3:3">
      <c r="C2139"/>
    </row>
    <row r="2140" spans="3:3">
      <c r="C2140"/>
    </row>
    <row r="2141" spans="3:3">
      <c r="C2141"/>
    </row>
    <row r="2142" spans="3:3">
      <c r="C2142"/>
    </row>
    <row r="2143" spans="3:3">
      <c r="C2143"/>
    </row>
    <row r="2144" spans="3:3">
      <c r="C2144"/>
    </row>
    <row r="2145" spans="3:3">
      <c r="C2145"/>
    </row>
    <row r="2146" spans="3:3">
      <c r="C2146"/>
    </row>
    <row r="2147" spans="3:3">
      <c r="C2147"/>
    </row>
    <row r="2148" spans="3:3">
      <c r="C2148"/>
    </row>
    <row r="2149" spans="3:3">
      <c r="C2149"/>
    </row>
    <row r="2150" spans="3:3">
      <c r="C2150"/>
    </row>
    <row r="2151" spans="3:3">
      <c r="C2151"/>
    </row>
    <row r="2152" spans="3:3">
      <c r="C2152"/>
    </row>
    <row r="2153" spans="3:3">
      <c r="C2153"/>
    </row>
    <row r="2154" spans="3:3">
      <c r="C2154"/>
    </row>
    <row r="2155" spans="3:3">
      <c r="C2155"/>
    </row>
    <row r="2156" spans="3:3">
      <c r="C2156"/>
    </row>
    <row r="2157" spans="3:3">
      <c r="C2157"/>
    </row>
    <row r="2158" spans="3:3">
      <c r="C2158"/>
    </row>
    <row r="2159" spans="3:3">
      <c r="C2159"/>
    </row>
    <row r="2160" spans="3:3">
      <c r="C2160"/>
    </row>
    <row r="2161" spans="3:3">
      <c r="C2161"/>
    </row>
    <row r="2162" spans="3:3">
      <c r="C2162"/>
    </row>
    <row r="2163" spans="3:3">
      <c r="C2163"/>
    </row>
    <row r="2164" spans="3:3">
      <c r="C2164"/>
    </row>
    <row r="2165" spans="3:3">
      <c r="C2165"/>
    </row>
    <row r="2166" spans="3:3">
      <c r="C2166"/>
    </row>
    <row r="2167" spans="3:3">
      <c r="C2167"/>
    </row>
    <row r="2168" spans="3:3">
      <c r="C2168"/>
    </row>
    <row r="2169" spans="3:3">
      <c r="C2169"/>
    </row>
    <row r="2170" spans="3:3">
      <c r="C2170"/>
    </row>
    <row r="2171" spans="3:3">
      <c r="C2171"/>
    </row>
    <row r="2172" spans="3:3">
      <c r="C2172"/>
    </row>
    <row r="2173" spans="3:3">
      <c r="C2173"/>
    </row>
    <row r="2174" spans="3:3">
      <c r="C2174"/>
    </row>
    <row r="2175" spans="3:3">
      <c r="C2175"/>
    </row>
    <row r="2176" spans="3:3">
      <c r="C2176"/>
    </row>
    <row r="2177" spans="3:3">
      <c r="C2177"/>
    </row>
    <row r="2178" spans="3:3">
      <c r="C2178"/>
    </row>
    <row r="2179" spans="3:3">
      <c r="C2179"/>
    </row>
    <row r="2180" spans="3:3">
      <c r="C2180"/>
    </row>
    <row r="2181" spans="3:3">
      <c r="C2181"/>
    </row>
    <row r="2182" spans="3:3">
      <c r="C2182"/>
    </row>
    <row r="2183" spans="3:3">
      <c r="C2183"/>
    </row>
    <row r="2184" spans="3:3">
      <c r="C2184"/>
    </row>
    <row r="2185" spans="3:3">
      <c r="C2185"/>
    </row>
    <row r="2186" spans="3:3">
      <c r="C2186"/>
    </row>
    <row r="2187" spans="3:3">
      <c r="C2187"/>
    </row>
    <row r="2188" spans="3:3">
      <c r="C2188"/>
    </row>
    <row r="2189" spans="3:3">
      <c r="C2189"/>
    </row>
    <row r="2190" spans="3:3">
      <c r="C2190"/>
    </row>
    <row r="2191" spans="3:3">
      <c r="C2191"/>
    </row>
    <row r="2192" spans="3:3">
      <c r="C2192"/>
    </row>
    <row r="2193" spans="3:3">
      <c r="C2193"/>
    </row>
    <row r="2194" spans="3:3">
      <c r="C2194"/>
    </row>
    <row r="2195" spans="3:3">
      <c r="C2195"/>
    </row>
    <row r="2196" spans="3:3">
      <c r="C2196"/>
    </row>
    <row r="2197" spans="3:3">
      <c r="C2197"/>
    </row>
    <row r="2198" spans="3:3">
      <c r="C2198"/>
    </row>
    <row r="2199" spans="3:3">
      <c r="C2199"/>
    </row>
    <row r="2200" spans="3:3">
      <c r="C2200"/>
    </row>
    <row r="2201" spans="3:3">
      <c r="C2201"/>
    </row>
    <row r="2202" spans="3:3">
      <c r="C2202"/>
    </row>
    <row r="2203" spans="3:3">
      <c r="C2203"/>
    </row>
    <row r="2204" spans="3:3">
      <c r="C2204"/>
    </row>
    <row r="2205" spans="3:3">
      <c r="C2205"/>
    </row>
    <row r="2206" spans="3:3">
      <c r="C2206"/>
    </row>
    <row r="2207" spans="3:3">
      <c r="C2207"/>
    </row>
    <row r="2208" spans="3:3">
      <c r="C2208"/>
    </row>
    <row r="2209" spans="3:3">
      <c r="C2209"/>
    </row>
    <row r="2210" spans="3:3">
      <c r="C2210"/>
    </row>
    <row r="2211" spans="3:3">
      <c r="C2211"/>
    </row>
    <row r="2212" spans="3:3">
      <c r="C2212"/>
    </row>
    <row r="2213" spans="3:3">
      <c r="C2213"/>
    </row>
    <row r="2214" spans="3:3">
      <c r="C2214"/>
    </row>
    <row r="2215" spans="3:3">
      <c r="C2215"/>
    </row>
    <row r="2216" spans="3:3">
      <c r="C2216"/>
    </row>
    <row r="2217" spans="3:3">
      <c r="C2217"/>
    </row>
    <row r="2218" spans="3:3">
      <c r="C2218"/>
    </row>
    <row r="2219" spans="3:3">
      <c r="C2219"/>
    </row>
    <row r="2220" spans="3:3">
      <c r="C2220"/>
    </row>
    <row r="2221" spans="3:3">
      <c r="C2221"/>
    </row>
    <row r="2222" spans="3:3">
      <c r="C2222"/>
    </row>
    <row r="2223" spans="3:3">
      <c r="C2223"/>
    </row>
    <row r="2224" spans="3:3">
      <c r="C2224"/>
    </row>
    <row r="2225" spans="3:3">
      <c r="C2225"/>
    </row>
    <row r="2226" spans="3:3">
      <c r="C2226"/>
    </row>
    <row r="2227" spans="3:3">
      <c r="C2227"/>
    </row>
    <row r="2228" spans="3:3">
      <c r="C2228"/>
    </row>
    <row r="2229" spans="3:3">
      <c r="C2229"/>
    </row>
    <row r="2230" spans="3:3">
      <c r="C2230"/>
    </row>
    <row r="2231" spans="3:3">
      <c r="C2231"/>
    </row>
    <row r="2232" spans="3:3">
      <c r="C2232"/>
    </row>
    <row r="2233" spans="3:3">
      <c r="C2233"/>
    </row>
    <row r="2234" spans="3:3">
      <c r="C2234"/>
    </row>
    <row r="2235" spans="3:3">
      <c r="C2235"/>
    </row>
    <row r="2236" spans="3:3">
      <c r="C2236"/>
    </row>
    <row r="2237" spans="3:3">
      <c r="C2237"/>
    </row>
    <row r="2238" spans="3:3">
      <c r="C2238"/>
    </row>
    <row r="2239" spans="3:3">
      <c r="C2239"/>
    </row>
    <row r="2240" spans="3:3">
      <c r="C2240"/>
    </row>
    <row r="2241" spans="3:3">
      <c r="C2241"/>
    </row>
    <row r="2242" spans="3:3">
      <c r="C2242"/>
    </row>
    <row r="2243" spans="3:3">
      <c r="C2243"/>
    </row>
    <row r="2244" spans="3:3">
      <c r="C2244"/>
    </row>
    <row r="2245" spans="3:3">
      <c r="C2245"/>
    </row>
    <row r="2246" spans="3:3">
      <c r="C2246"/>
    </row>
    <row r="2247" spans="3:3">
      <c r="C2247"/>
    </row>
    <row r="2248" spans="3:3">
      <c r="C2248"/>
    </row>
    <row r="2249" spans="3:3">
      <c r="C2249"/>
    </row>
    <row r="2250" spans="3:3">
      <c r="C2250"/>
    </row>
    <row r="2251" spans="3:3">
      <c r="C2251"/>
    </row>
    <row r="2252" spans="3:3">
      <c r="C2252"/>
    </row>
    <row r="2253" spans="3:3">
      <c r="C2253"/>
    </row>
    <row r="2254" spans="3:3">
      <c r="C2254"/>
    </row>
    <row r="2255" spans="3:3">
      <c r="C2255"/>
    </row>
    <row r="2256" spans="3:3">
      <c r="C2256"/>
    </row>
    <row r="2257" spans="3:3">
      <c r="C2257"/>
    </row>
    <row r="2258" spans="3:3">
      <c r="C2258"/>
    </row>
    <row r="2259" spans="3:3">
      <c r="C2259"/>
    </row>
    <row r="2260" spans="3:3">
      <c r="C2260"/>
    </row>
    <row r="2261" spans="3:3">
      <c r="C2261"/>
    </row>
    <row r="2262" spans="3:3">
      <c r="C2262"/>
    </row>
    <row r="2263" spans="3:3">
      <c r="C2263"/>
    </row>
    <row r="2264" spans="3:3">
      <c r="C2264"/>
    </row>
    <row r="2265" spans="3:3">
      <c r="C2265"/>
    </row>
    <row r="2266" spans="3:3">
      <c r="C2266"/>
    </row>
    <row r="2267" spans="3:3">
      <c r="C2267"/>
    </row>
    <row r="2268" spans="3:3">
      <c r="C2268"/>
    </row>
    <row r="2269" spans="3:3">
      <c r="C2269"/>
    </row>
    <row r="2270" spans="3:3">
      <c r="C2270"/>
    </row>
    <row r="2271" spans="3:3">
      <c r="C2271"/>
    </row>
    <row r="2272" spans="3:3">
      <c r="C2272"/>
    </row>
    <row r="2273" spans="3:3">
      <c r="C2273"/>
    </row>
    <row r="2274" spans="3:3">
      <c r="C2274"/>
    </row>
    <row r="2275" spans="3:3">
      <c r="C2275"/>
    </row>
    <row r="2276" spans="3:3">
      <c r="C2276"/>
    </row>
    <row r="2277" spans="3:3">
      <c r="C2277"/>
    </row>
    <row r="2278" spans="3:3">
      <c r="C2278"/>
    </row>
    <row r="2279" spans="3:3">
      <c r="C2279"/>
    </row>
    <row r="2280" spans="3:3">
      <c r="C2280"/>
    </row>
    <row r="2281" spans="3:3">
      <c r="C2281"/>
    </row>
    <row r="2282" spans="3:3">
      <c r="C2282"/>
    </row>
    <row r="2283" spans="3:3">
      <c r="C2283"/>
    </row>
    <row r="2284" spans="3:3">
      <c r="C2284"/>
    </row>
    <row r="2285" spans="3:3">
      <c r="C2285"/>
    </row>
    <row r="2286" spans="3:3">
      <c r="C2286"/>
    </row>
    <row r="2287" spans="3:3">
      <c r="C2287"/>
    </row>
    <row r="2288" spans="3:3">
      <c r="C2288"/>
    </row>
    <row r="2289" spans="3:3">
      <c r="C2289"/>
    </row>
    <row r="2290" spans="3:3">
      <c r="C2290"/>
    </row>
    <row r="2291" spans="3:3">
      <c r="C2291"/>
    </row>
    <row r="2292" spans="3:3">
      <c r="C2292"/>
    </row>
    <row r="2293" spans="3:3">
      <c r="C2293"/>
    </row>
    <row r="2294" spans="3:3">
      <c r="C2294"/>
    </row>
    <row r="2295" spans="3:3">
      <c r="C2295"/>
    </row>
    <row r="2296" spans="3:3">
      <c r="C2296"/>
    </row>
    <row r="2297" spans="3:3">
      <c r="C2297"/>
    </row>
    <row r="2298" spans="3:3">
      <c r="C2298"/>
    </row>
    <row r="2299" spans="3:3">
      <c r="C2299"/>
    </row>
    <row r="2300" spans="3:3">
      <c r="C2300"/>
    </row>
    <row r="2301" spans="3:3">
      <c r="C2301"/>
    </row>
    <row r="2302" spans="3:3">
      <c r="C2302"/>
    </row>
    <row r="2303" spans="3:3">
      <c r="C2303"/>
    </row>
    <row r="2304" spans="3:3">
      <c r="C2304"/>
    </row>
    <row r="2305" spans="3:3">
      <c r="C2305"/>
    </row>
    <row r="2306" spans="3:3">
      <c r="C2306"/>
    </row>
    <row r="2307" spans="3:3">
      <c r="C2307"/>
    </row>
    <row r="2308" spans="3:3">
      <c r="C2308"/>
    </row>
    <row r="2309" spans="3:3">
      <c r="C2309"/>
    </row>
    <row r="2310" spans="3:3">
      <c r="C2310"/>
    </row>
    <row r="2311" spans="3:3">
      <c r="C2311"/>
    </row>
    <row r="2312" spans="3:3">
      <c r="C2312"/>
    </row>
    <row r="2313" spans="3:3">
      <c r="C2313"/>
    </row>
    <row r="2314" spans="3:3">
      <c r="C2314"/>
    </row>
    <row r="2315" spans="3:3">
      <c r="C2315"/>
    </row>
    <row r="2316" spans="3:3">
      <c r="C2316"/>
    </row>
    <row r="2317" spans="3:3">
      <c r="C2317"/>
    </row>
    <row r="2318" spans="3:3">
      <c r="C2318"/>
    </row>
    <row r="2319" spans="3:3">
      <c r="C2319"/>
    </row>
    <row r="2320" spans="3:3">
      <c r="C2320"/>
    </row>
    <row r="2321" spans="3:3">
      <c r="C2321"/>
    </row>
    <row r="2322" spans="3:3">
      <c r="C2322"/>
    </row>
    <row r="2323" spans="3:3">
      <c r="C2323"/>
    </row>
    <row r="2324" spans="3:3">
      <c r="C2324"/>
    </row>
    <row r="2325" spans="3:3">
      <c r="C2325"/>
    </row>
    <row r="2326" spans="3:3">
      <c r="C2326"/>
    </row>
    <row r="2327" spans="3:3">
      <c r="C2327"/>
    </row>
    <row r="2328" spans="3:3">
      <c r="C2328"/>
    </row>
    <row r="2329" spans="3:3">
      <c r="C2329"/>
    </row>
    <row r="2330" spans="3:3">
      <c r="C2330"/>
    </row>
    <row r="2331" spans="3:3">
      <c r="C2331"/>
    </row>
    <row r="2332" spans="3:3">
      <c r="C2332"/>
    </row>
    <row r="2333" spans="3:3">
      <c r="C2333"/>
    </row>
    <row r="2334" spans="3:3">
      <c r="C2334"/>
    </row>
    <row r="2335" spans="3:3">
      <c r="C2335"/>
    </row>
    <row r="2336" spans="3:3">
      <c r="C2336"/>
    </row>
    <row r="2337" spans="3:3">
      <c r="C2337"/>
    </row>
    <row r="2338" spans="3:3">
      <c r="C2338"/>
    </row>
    <row r="2339" spans="3:3">
      <c r="C2339"/>
    </row>
    <row r="2340" spans="3:3">
      <c r="C2340"/>
    </row>
    <row r="2341" spans="3:3">
      <c r="C2341"/>
    </row>
    <row r="2342" spans="3:3">
      <c r="C2342"/>
    </row>
    <row r="2343" spans="3:3">
      <c r="C2343"/>
    </row>
    <row r="2344" spans="3:3">
      <c r="C2344"/>
    </row>
    <row r="2345" spans="3:3">
      <c r="C2345"/>
    </row>
    <row r="2346" spans="3:3">
      <c r="C2346"/>
    </row>
    <row r="2347" spans="3:3">
      <c r="C2347"/>
    </row>
    <row r="2348" spans="3:3">
      <c r="C2348"/>
    </row>
    <row r="2349" spans="3:3">
      <c r="C2349"/>
    </row>
    <row r="2350" spans="3:3">
      <c r="C2350"/>
    </row>
    <row r="2351" spans="3:3">
      <c r="C2351"/>
    </row>
    <row r="2352" spans="3:3">
      <c r="C2352"/>
    </row>
    <row r="2353" spans="3:3">
      <c r="C2353"/>
    </row>
    <row r="2354" spans="3:3">
      <c r="C2354"/>
    </row>
    <row r="2355" spans="3:3">
      <c r="C2355"/>
    </row>
    <row r="2356" spans="3:3">
      <c r="C2356"/>
    </row>
    <row r="2357" spans="3:3">
      <c r="C2357"/>
    </row>
    <row r="2358" spans="3:3">
      <c r="C2358"/>
    </row>
    <row r="2359" spans="3:3">
      <c r="C2359"/>
    </row>
    <row r="2360" spans="3:3">
      <c r="C2360"/>
    </row>
    <row r="2361" spans="3:3">
      <c r="C2361"/>
    </row>
    <row r="2362" spans="3:3">
      <c r="C2362"/>
    </row>
    <row r="2363" spans="3:3">
      <c r="C2363"/>
    </row>
    <row r="2364" spans="3:3">
      <c r="C2364"/>
    </row>
    <row r="2365" spans="3:3">
      <c r="C2365"/>
    </row>
    <row r="2366" spans="3:3">
      <c r="C2366"/>
    </row>
    <row r="2367" spans="3:3">
      <c r="C2367"/>
    </row>
    <row r="2368" spans="3:3">
      <c r="C2368"/>
    </row>
    <row r="2369" spans="3:3">
      <c r="C2369"/>
    </row>
    <row r="2370" spans="3:3">
      <c r="C2370"/>
    </row>
    <row r="2371" spans="3:3">
      <c r="C2371"/>
    </row>
    <row r="2372" spans="3:3">
      <c r="C2372"/>
    </row>
    <row r="2373" spans="3:3">
      <c r="C2373"/>
    </row>
    <row r="2374" spans="3:3">
      <c r="C2374"/>
    </row>
    <row r="2375" spans="3:3">
      <c r="C2375"/>
    </row>
    <row r="2376" spans="3:3">
      <c r="C2376"/>
    </row>
    <row r="2377" spans="3:3">
      <c r="C2377"/>
    </row>
    <row r="2378" spans="3:3">
      <c r="C2378"/>
    </row>
    <row r="2379" spans="3:3">
      <c r="C2379"/>
    </row>
    <row r="2380" spans="3:3">
      <c r="C2380"/>
    </row>
    <row r="2381" spans="3:3">
      <c r="C2381"/>
    </row>
    <row r="2382" spans="3:3">
      <c r="C2382"/>
    </row>
    <row r="2383" spans="3:3">
      <c r="C2383"/>
    </row>
    <row r="2384" spans="3:3">
      <c r="C2384"/>
    </row>
    <row r="2385" spans="3:3">
      <c r="C2385"/>
    </row>
    <row r="2386" spans="3:3">
      <c r="C2386"/>
    </row>
    <row r="2387" spans="3:3">
      <c r="C2387"/>
    </row>
    <row r="2388" spans="3:3">
      <c r="C2388"/>
    </row>
    <row r="2389" spans="3:3">
      <c r="C2389"/>
    </row>
    <row r="2390" spans="3:3">
      <c r="C2390"/>
    </row>
    <row r="2391" spans="3:3">
      <c r="C2391"/>
    </row>
    <row r="2392" spans="3:3">
      <c r="C2392"/>
    </row>
    <row r="2393" spans="3:3">
      <c r="C2393"/>
    </row>
    <row r="2394" spans="3:3">
      <c r="C2394"/>
    </row>
    <row r="2395" spans="3:3">
      <c r="C2395"/>
    </row>
    <row r="2396" spans="3:3">
      <c r="C2396"/>
    </row>
    <row r="2397" spans="3:3">
      <c r="C2397"/>
    </row>
    <row r="2398" spans="3:3">
      <c r="C2398"/>
    </row>
    <row r="2399" spans="3:3">
      <c r="C2399"/>
    </row>
    <row r="2400" spans="3:3">
      <c r="C2400"/>
    </row>
    <row r="2401" spans="3:3">
      <c r="C2401"/>
    </row>
    <row r="2402" spans="3:3">
      <c r="C2402"/>
    </row>
    <row r="2403" spans="3:3">
      <c r="C2403"/>
    </row>
    <row r="2404" spans="3:3">
      <c r="C2404"/>
    </row>
    <row r="2405" spans="3:3">
      <c r="C2405"/>
    </row>
    <row r="2406" spans="3:3">
      <c r="C2406"/>
    </row>
    <row r="2407" spans="3:3">
      <c r="C2407"/>
    </row>
    <row r="2408" spans="3:3">
      <c r="C2408"/>
    </row>
    <row r="2409" spans="3:3">
      <c r="C2409"/>
    </row>
    <row r="2410" spans="3:3">
      <c r="C2410"/>
    </row>
    <row r="2411" spans="3:3">
      <c r="C2411"/>
    </row>
    <row r="2412" spans="3:3">
      <c r="C2412"/>
    </row>
    <row r="2413" spans="3:3">
      <c r="C2413"/>
    </row>
    <row r="2414" spans="3:3">
      <c r="C2414"/>
    </row>
    <row r="2415" spans="3:3">
      <c r="C2415"/>
    </row>
    <row r="2416" spans="3:3">
      <c r="C2416"/>
    </row>
    <row r="2417" spans="3:3">
      <c r="C2417"/>
    </row>
    <row r="2418" spans="3:3">
      <c r="C2418"/>
    </row>
    <row r="2419" spans="3:3">
      <c r="C2419"/>
    </row>
    <row r="2420" spans="3:3">
      <c r="C2420"/>
    </row>
    <row r="2421" spans="3:3">
      <c r="C2421"/>
    </row>
    <row r="2422" spans="3:3">
      <c r="C2422"/>
    </row>
    <row r="2423" spans="3:3">
      <c r="C2423"/>
    </row>
    <row r="2424" spans="3:3">
      <c r="C2424"/>
    </row>
    <row r="2425" spans="3:3">
      <c r="C2425"/>
    </row>
    <row r="2426" spans="3:3">
      <c r="C2426"/>
    </row>
    <row r="2427" spans="3:3">
      <c r="C2427"/>
    </row>
    <row r="2428" spans="3:3">
      <c r="C2428"/>
    </row>
    <row r="2429" spans="3:3">
      <c r="C2429"/>
    </row>
    <row r="2430" spans="3:3">
      <c r="C2430"/>
    </row>
    <row r="2431" spans="3:3">
      <c r="C2431"/>
    </row>
    <row r="2432" spans="3:3">
      <c r="C2432"/>
    </row>
    <row r="2433" spans="3:3">
      <c r="C2433"/>
    </row>
    <row r="2434" spans="3:3">
      <c r="C2434"/>
    </row>
    <row r="2435" spans="3:3">
      <c r="C2435"/>
    </row>
    <row r="2436" spans="3:3">
      <c r="C2436"/>
    </row>
    <row r="2437" spans="3:3">
      <c r="C2437"/>
    </row>
    <row r="2438" spans="3:3">
      <c r="C2438"/>
    </row>
    <row r="2439" spans="3:3">
      <c r="C2439"/>
    </row>
    <row r="2440" spans="3:3">
      <c r="C2440"/>
    </row>
    <row r="2441" spans="3:3">
      <c r="C2441"/>
    </row>
    <row r="2442" spans="3:3">
      <c r="C2442"/>
    </row>
    <row r="2443" spans="3:3">
      <c r="C2443"/>
    </row>
    <row r="2444" spans="3:3">
      <c r="C2444"/>
    </row>
    <row r="2445" spans="3:3">
      <c r="C2445"/>
    </row>
    <row r="2446" spans="3:3">
      <c r="C2446"/>
    </row>
    <row r="2447" spans="3:3">
      <c r="C2447"/>
    </row>
    <row r="2448" spans="3:3">
      <c r="C2448"/>
    </row>
    <row r="2449" spans="3:3">
      <c r="C2449"/>
    </row>
    <row r="2450" spans="3:3">
      <c r="C2450"/>
    </row>
    <row r="2451" spans="3:3">
      <c r="C2451"/>
    </row>
    <row r="2452" spans="3:3">
      <c r="C2452"/>
    </row>
    <row r="2453" spans="3:3">
      <c r="C2453"/>
    </row>
    <row r="2454" spans="3:3">
      <c r="C2454"/>
    </row>
    <row r="2455" spans="3:3">
      <c r="C2455"/>
    </row>
    <row r="2456" spans="3:3">
      <c r="C2456"/>
    </row>
    <row r="2457" spans="3:3">
      <c r="C2457"/>
    </row>
    <row r="2458" spans="3:3">
      <c r="C2458"/>
    </row>
    <row r="2459" spans="3:3">
      <c r="C2459"/>
    </row>
    <row r="2460" spans="3:3">
      <c r="C2460"/>
    </row>
    <row r="2461" spans="3:3">
      <c r="C2461"/>
    </row>
    <row r="2462" spans="3:3">
      <c r="C2462"/>
    </row>
    <row r="2463" spans="3:3">
      <c r="C2463"/>
    </row>
    <row r="2464" spans="3:3">
      <c r="C2464"/>
    </row>
    <row r="2465" spans="3:3">
      <c r="C2465"/>
    </row>
    <row r="2466" spans="3:3">
      <c r="C2466"/>
    </row>
    <row r="2467" spans="3:3">
      <c r="C2467"/>
    </row>
    <row r="2468" spans="3:3">
      <c r="C2468"/>
    </row>
    <row r="2469" spans="3:3">
      <c r="C2469"/>
    </row>
    <row r="2470" spans="3:3">
      <c r="C2470"/>
    </row>
    <row r="2471" spans="3:3">
      <c r="C2471"/>
    </row>
    <row r="2472" spans="3:3">
      <c r="C2472"/>
    </row>
    <row r="2473" spans="3:3">
      <c r="C2473"/>
    </row>
    <row r="2474" spans="3:3">
      <c r="C2474"/>
    </row>
    <row r="2475" spans="3:3">
      <c r="C2475"/>
    </row>
    <row r="2476" spans="3:3">
      <c r="C2476"/>
    </row>
    <row r="2477" spans="3:3">
      <c r="C2477"/>
    </row>
    <row r="2478" spans="3:3">
      <c r="C2478"/>
    </row>
    <row r="2479" spans="3:3">
      <c r="C2479"/>
    </row>
    <row r="2480" spans="3:3">
      <c r="C2480"/>
    </row>
    <row r="2481" spans="3:3">
      <c r="C2481"/>
    </row>
    <row r="2482" spans="3:3">
      <c r="C2482"/>
    </row>
    <row r="2483" spans="3:3">
      <c r="C2483"/>
    </row>
    <row r="2484" spans="3:3">
      <c r="C2484"/>
    </row>
    <row r="2485" spans="3:3">
      <c r="C2485"/>
    </row>
    <row r="2486" spans="3:3">
      <c r="C2486"/>
    </row>
    <row r="2487" spans="3:3">
      <c r="C2487"/>
    </row>
    <row r="2488" spans="3:3">
      <c r="C2488"/>
    </row>
    <row r="2489" spans="3:3">
      <c r="C2489"/>
    </row>
    <row r="2490" spans="3:3">
      <c r="C2490"/>
    </row>
    <row r="2491" spans="3:3">
      <c r="C2491"/>
    </row>
    <row r="2492" spans="3:3">
      <c r="C2492"/>
    </row>
    <row r="2493" spans="3:3">
      <c r="C2493"/>
    </row>
    <row r="2494" spans="3:3">
      <c r="C2494"/>
    </row>
    <row r="2495" spans="3:3">
      <c r="C2495"/>
    </row>
    <row r="2496" spans="3:3">
      <c r="C2496"/>
    </row>
    <row r="2497" spans="3:3">
      <c r="C2497"/>
    </row>
    <row r="2498" spans="3:3">
      <c r="C2498"/>
    </row>
    <row r="2499" spans="3:3">
      <c r="C2499"/>
    </row>
    <row r="2500" spans="3:3">
      <c r="C2500"/>
    </row>
    <row r="2501" spans="3:3">
      <c r="C2501"/>
    </row>
    <row r="2502" spans="3:3">
      <c r="C2502"/>
    </row>
    <row r="2503" spans="3:3">
      <c r="C2503"/>
    </row>
    <row r="2504" spans="3:3">
      <c r="C2504"/>
    </row>
    <row r="2505" spans="3:3">
      <c r="C2505"/>
    </row>
    <row r="2506" spans="3:3">
      <c r="C2506"/>
    </row>
    <row r="2507" spans="3:3">
      <c r="C2507"/>
    </row>
    <row r="2508" spans="3:3">
      <c r="C2508"/>
    </row>
    <row r="2509" spans="3:3">
      <c r="C2509"/>
    </row>
    <row r="2510" spans="3:3">
      <c r="C2510"/>
    </row>
    <row r="2511" spans="3:3">
      <c r="C2511"/>
    </row>
    <row r="2512" spans="3:3">
      <c r="C2512"/>
    </row>
    <row r="2513" spans="3:3">
      <c r="C2513"/>
    </row>
    <row r="2514" spans="3:3">
      <c r="C2514"/>
    </row>
    <row r="2515" spans="3:3">
      <c r="C2515"/>
    </row>
    <row r="2516" spans="3:3">
      <c r="C2516"/>
    </row>
    <row r="2517" spans="3:3">
      <c r="C2517"/>
    </row>
    <row r="2518" spans="3:3">
      <c r="C2518"/>
    </row>
    <row r="2519" spans="3:3">
      <c r="C2519"/>
    </row>
    <row r="2520" spans="3:3">
      <c r="C2520"/>
    </row>
    <row r="2521" spans="3:3">
      <c r="C2521"/>
    </row>
    <row r="2522" spans="3:3">
      <c r="C2522"/>
    </row>
    <row r="2523" spans="3:3">
      <c r="C2523"/>
    </row>
    <row r="2524" spans="3:3">
      <c r="C2524"/>
    </row>
    <row r="2525" spans="3:3">
      <c r="C2525"/>
    </row>
    <row r="2526" spans="3:3">
      <c r="C2526"/>
    </row>
    <row r="2527" spans="3:3">
      <c r="C2527"/>
    </row>
    <row r="2528" spans="3:3">
      <c r="C2528"/>
    </row>
    <row r="2529" spans="3:3">
      <c r="C2529"/>
    </row>
    <row r="2530" spans="3:3">
      <c r="C2530"/>
    </row>
    <row r="2531" spans="3:3">
      <c r="C2531"/>
    </row>
    <row r="2532" spans="3:3">
      <c r="C2532"/>
    </row>
    <row r="2533" spans="3:3">
      <c r="C2533"/>
    </row>
    <row r="2534" spans="3:3">
      <c r="C2534"/>
    </row>
    <row r="2535" spans="3:3">
      <c r="C2535"/>
    </row>
    <row r="2536" spans="3:3">
      <c r="C2536"/>
    </row>
    <row r="2537" spans="3:3">
      <c r="C2537"/>
    </row>
    <row r="2538" spans="3:3">
      <c r="C2538"/>
    </row>
    <row r="2539" spans="3:3">
      <c r="C2539"/>
    </row>
    <row r="2540" spans="3:3">
      <c r="C2540"/>
    </row>
    <row r="2541" spans="3:3">
      <c r="C2541"/>
    </row>
    <row r="2542" spans="3:3">
      <c r="C2542"/>
    </row>
    <row r="2543" spans="3:3">
      <c r="C2543"/>
    </row>
    <row r="2544" spans="3:3">
      <c r="C2544"/>
    </row>
    <row r="2545" spans="3:3">
      <c r="C2545"/>
    </row>
    <row r="2546" spans="3:3">
      <c r="C2546"/>
    </row>
    <row r="2547" spans="3:3">
      <c r="C2547"/>
    </row>
    <row r="2548" spans="3:3">
      <c r="C2548"/>
    </row>
    <row r="2549" spans="3:3">
      <c r="C2549"/>
    </row>
    <row r="2550" spans="3:3">
      <c r="C2550"/>
    </row>
    <row r="2551" spans="3:3">
      <c r="C2551"/>
    </row>
    <row r="2552" spans="3:3">
      <c r="C2552"/>
    </row>
    <row r="2553" spans="3:3">
      <c r="C2553"/>
    </row>
    <row r="2554" spans="3:3">
      <c r="C2554"/>
    </row>
    <row r="2555" spans="3:3">
      <c r="C2555"/>
    </row>
    <row r="2556" spans="3:3">
      <c r="C2556"/>
    </row>
    <row r="2557" spans="3:3">
      <c r="C2557"/>
    </row>
    <row r="2558" spans="3:3">
      <c r="C2558"/>
    </row>
    <row r="2559" spans="3:3">
      <c r="C2559"/>
    </row>
    <row r="2560" spans="3:3">
      <c r="C2560"/>
    </row>
    <row r="2561" spans="3:3">
      <c r="C2561"/>
    </row>
    <row r="2562" spans="3:3">
      <c r="C2562"/>
    </row>
    <row r="2563" spans="3:3">
      <c r="C2563"/>
    </row>
    <row r="2564" spans="3:3">
      <c r="C2564"/>
    </row>
    <row r="2565" spans="3:3">
      <c r="C2565"/>
    </row>
    <row r="2566" spans="3:3">
      <c r="C2566"/>
    </row>
    <row r="2567" spans="3:3">
      <c r="C2567"/>
    </row>
    <row r="2568" spans="3:3">
      <c r="C2568"/>
    </row>
    <row r="2569" spans="3:3">
      <c r="C2569"/>
    </row>
    <row r="2570" spans="3:3">
      <c r="C2570"/>
    </row>
    <row r="2571" spans="3:3">
      <c r="C2571"/>
    </row>
    <row r="2572" spans="3:3">
      <c r="C2572"/>
    </row>
    <row r="2573" spans="3:3">
      <c r="C2573"/>
    </row>
    <row r="2574" spans="3:3">
      <c r="C2574"/>
    </row>
    <row r="2575" spans="3:3">
      <c r="C2575"/>
    </row>
    <row r="2576" spans="3:3">
      <c r="C2576"/>
    </row>
    <row r="2577" spans="3:3">
      <c r="C2577"/>
    </row>
    <row r="2578" spans="3:3">
      <c r="C2578"/>
    </row>
    <row r="2579" spans="3:3">
      <c r="C2579"/>
    </row>
    <row r="2580" spans="3:3">
      <c r="C2580"/>
    </row>
    <row r="2581" spans="3:3">
      <c r="C2581"/>
    </row>
    <row r="2582" spans="3:3">
      <c r="C2582"/>
    </row>
    <row r="2583" spans="3:3">
      <c r="C2583"/>
    </row>
    <row r="2584" spans="3:3">
      <c r="C2584"/>
    </row>
    <row r="2585" spans="3:3">
      <c r="C2585"/>
    </row>
    <row r="2586" spans="3:3">
      <c r="C2586"/>
    </row>
    <row r="2587" spans="3:3">
      <c r="C2587"/>
    </row>
    <row r="2588" spans="3:3">
      <c r="C2588"/>
    </row>
    <row r="2589" spans="3:3">
      <c r="C2589"/>
    </row>
    <row r="2590" spans="3:3">
      <c r="C2590"/>
    </row>
    <row r="2591" spans="3:3">
      <c r="C2591"/>
    </row>
    <row r="2592" spans="3:3">
      <c r="C2592"/>
    </row>
    <row r="2593" spans="3:3">
      <c r="C2593"/>
    </row>
    <row r="2594" spans="3:3">
      <c r="C2594"/>
    </row>
    <row r="2595" spans="3:3">
      <c r="C2595"/>
    </row>
    <row r="2596" spans="3:3">
      <c r="C2596"/>
    </row>
    <row r="2597" spans="3:3">
      <c r="C2597"/>
    </row>
    <row r="2598" spans="3:3">
      <c r="C2598"/>
    </row>
    <row r="2599" spans="3:3">
      <c r="C2599"/>
    </row>
    <row r="2600" spans="3:3">
      <c r="C2600"/>
    </row>
    <row r="2601" spans="3:3">
      <c r="C2601"/>
    </row>
    <row r="2602" spans="3:3">
      <c r="C2602"/>
    </row>
    <row r="2603" spans="3:3">
      <c r="C2603"/>
    </row>
    <row r="2604" spans="3:3">
      <c r="C2604"/>
    </row>
    <row r="2605" spans="3:3">
      <c r="C2605"/>
    </row>
    <row r="2606" spans="3:3">
      <c r="C2606"/>
    </row>
    <row r="2607" spans="3:3">
      <c r="C2607"/>
    </row>
    <row r="2608" spans="3:3">
      <c r="C2608"/>
    </row>
    <row r="2609" spans="3:3">
      <c r="C2609"/>
    </row>
    <row r="2610" spans="3:3">
      <c r="C2610"/>
    </row>
    <row r="2611" spans="3:3">
      <c r="C2611"/>
    </row>
    <row r="2612" spans="3:3">
      <c r="C2612"/>
    </row>
    <row r="2613" spans="3:3">
      <c r="C2613"/>
    </row>
    <row r="2614" spans="3:3">
      <c r="C2614"/>
    </row>
    <row r="2615" spans="3:3">
      <c r="C2615"/>
    </row>
    <row r="2616" spans="3:3">
      <c r="C2616"/>
    </row>
    <row r="2617" spans="3:3">
      <c r="C2617"/>
    </row>
    <row r="2618" spans="3:3">
      <c r="C2618"/>
    </row>
    <row r="2619" spans="3:3">
      <c r="C2619"/>
    </row>
    <row r="2620" spans="3:3">
      <c r="C2620"/>
    </row>
    <row r="2621" spans="3:3">
      <c r="C2621"/>
    </row>
    <row r="2622" spans="3:3">
      <c r="C2622"/>
    </row>
    <row r="2623" spans="3:3">
      <c r="C2623"/>
    </row>
    <row r="2624" spans="3:3">
      <c r="C2624"/>
    </row>
    <row r="2625" spans="3:3">
      <c r="C2625"/>
    </row>
    <row r="2626" spans="3:3">
      <c r="C2626"/>
    </row>
    <row r="2627" spans="3:3">
      <c r="C2627"/>
    </row>
    <row r="2628" spans="3:3">
      <c r="C2628"/>
    </row>
    <row r="2629" spans="3:3">
      <c r="C2629"/>
    </row>
    <row r="2630" spans="3:3">
      <c r="C2630"/>
    </row>
    <row r="2631" spans="3:3">
      <c r="C2631"/>
    </row>
    <row r="2632" spans="3:3">
      <c r="C2632"/>
    </row>
    <row r="2633" spans="3:3">
      <c r="C2633"/>
    </row>
    <row r="2634" spans="3:3">
      <c r="C2634"/>
    </row>
    <row r="2635" spans="3:3">
      <c r="C2635"/>
    </row>
    <row r="2636" spans="3:3">
      <c r="C2636"/>
    </row>
    <row r="2637" spans="3:3">
      <c r="C2637"/>
    </row>
    <row r="2638" spans="3:3">
      <c r="C2638"/>
    </row>
    <row r="2639" spans="3:3">
      <c r="C2639"/>
    </row>
    <row r="2640" spans="3:3">
      <c r="C2640"/>
    </row>
    <row r="2641" spans="3:3">
      <c r="C2641"/>
    </row>
    <row r="2642" spans="3:3">
      <c r="C2642"/>
    </row>
    <row r="2643" spans="3:3">
      <c r="C2643"/>
    </row>
    <row r="2644" spans="3:3">
      <c r="C2644"/>
    </row>
    <row r="2645" spans="3:3">
      <c r="C2645"/>
    </row>
    <row r="2646" spans="3:3">
      <c r="C2646"/>
    </row>
    <row r="2647" spans="3:3">
      <c r="C2647"/>
    </row>
    <row r="2648" spans="3:3">
      <c r="C2648"/>
    </row>
    <row r="2649" spans="3:3">
      <c r="C2649"/>
    </row>
    <row r="2650" spans="3:3">
      <c r="C2650"/>
    </row>
    <row r="2651" spans="3:3">
      <c r="C2651"/>
    </row>
    <row r="2652" spans="3:3">
      <c r="C2652"/>
    </row>
    <row r="2653" spans="3:3">
      <c r="C2653"/>
    </row>
    <row r="2654" spans="3:3">
      <c r="C2654"/>
    </row>
    <row r="2655" spans="3:3">
      <c r="C2655"/>
    </row>
    <row r="2656" spans="3:3">
      <c r="C2656"/>
    </row>
    <row r="2657" spans="3:3">
      <c r="C2657"/>
    </row>
    <row r="2658" spans="3:3">
      <c r="C2658"/>
    </row>
    <row r="2659" spans="3:3">
      <c r="C2659"/>
    </row>
    <row r="2660" spans="3:3">
      <c r="C2660"/>
    </row>
    <row r="2661" spans="3:3">
      <c r="C2661"/>
    </row>
    <row r="2662" spans="3:3">
      <c r="C2662"/>
    </row>
    <row r="2663" spans="3:3">
      <c r="C2663"/>
    </row>
    <row r="2664" spans="3:3">
      <c r="C2664"/>
    </row>
    <row r="2665" spans="3:3">
      <c r="C2665"/>
    </row>
    <row r="2666" spans="3:3">
      <c r="C2666"/>
    </row>
    <row r="2667" spans="3:3">
      <c r="C2667"/>
    </row>
    <row r="2668" spans="3:3">
      <c r="C2668"/>
    </row>
    <row r="2669" spans="3:3">
      <c r="C2669"/>
    </row>
    <row r="2670" spans="3:3">
      <c r="C2670"/>
    </row>
    <row r="2671" spans="3:3">
      <c r="C2671"/>
    </row>
    <row r="2672" spans="3:3">
      <c r="C2672"/>
    </row>
    <row r="2673" spans="3:3">
      <c r="C2673"/>
    </row>
    <row r="2674" spans="3:3">
      <c r="C2674"/>
    </row>
    <row r="2675" spans="3:3">
      <c r="C2675"/>
    </row>
    <row r="2676" spans="3:3">
      <c r="C2676"/>
    </row>
    <row r="2677" spans="3:3">
      <c r="C2677"/>
    </row>
    <row r="2678" spans="3:3">
      <c r="C2678"/>
    </row>
    <row r="2679" spans="3:3">
      <c r="C2679"/>
    </row>
    <row r="2680" spans="3:3">
      <c r="C2680"/>
    </row>
    <row r="2681" spans="3:3">
      <c r="C2681"/>
    </row>
    <row r="2682" spans="3:3">
      <c r="C2682"/>
    </row>
    <row r="2683" spans="3:3">
      <c r="C2683"/>
    </row>
    <row r="2684" spans="3:3">
      <c r="C2684"/>
    </row>
    <row r="2685" spans="3:3">
      <c r="C2685"/>
    </row>
    <row r="2686" spans="3:3">
      <c r="C2686"/>
    </row>
    <row r="2687" spans="3:3">
      <c r="C2687"/>
    </row>
    <row r="2688" spans="3:3">
      <c r="C2688"/>
    </row>
    <row r="2689" spans="3:3">
      <c r="C2689"/>
    </row>
    <row r="2690" spans="3:3">
      <c r="C2690"/>
    </row>
    <row r="2691" spans="3:3">
      <c r="C2691"/>
    </row>
    <row r="2692" spans="3:3">
      <c r="C2692"/>
    </row>
    <row r="2693" spans="3:3">
      <c r="C2693"/>
    </row>
    <row r="2694" spans="3:3">
      <c r="C2694"/>
    </row>
    <row r="2695" spans="3:3">
      <c r="C2695"/>
    </row>
    <row r="2696" spans="3:3">
      <c r="C2696"/>
    </row>
    <row r="2697" spans="3:3">
      <c r="C2697"/>
    </row>
    <row r="2698" spans="3:3">
      <c r="C2698"/>
    </row>
    <row r="2699" spans="3:3">
      <c r="C2699"/>
    </row>
    <row r="2700" spans="3:3">
      <c r="C2700"/>
    </row>
    <row r="2701" spans="3:3">
      <c r="C2701"/>
    </row>
    <row r="2702" spans="3:3">
      <c r="C2702"/>
    </row>
    <row r="2703" spans="3:3">
      <c r="C2703"/>
    </row>
    <row r="2704" spans="3:3">
      <c r="C2704"/>
    </row>
    <row r="2705" spans="3:3">
      <c r="C2705"/>
    </row>
    <row r="2706" spans="3:3">
      <c r="C2706"/>
    </row>
    <row r="2707" spans="3:3">
      <c r="C2707"/>
    </row>
    <row r="2708" spans="3:3">
      <c r="C2708"/>
    </row>
    <row r="2709" spans="3:3">
      <c r="C2709"/>
    </row>
    <row r="2710" spans="3:3">
      <c r="C2710"/>
    </row>
    <row r="2711" spans="3:3">
      <c r="C2711"/>
    </row>
    <row r="2712" spans="3:3">
      <c r="C2712"/>
    </row>
    <row r="2713" spans="3:3">
      <c r="C2713"/>
    </row>
    <row r="2714" spans="3:3">
      <c r="C2714"/>
    </row>
    <row r="2715" spans="3:3">
      <c r="C2715"/>
    </row>
    <row r="2716" spans="3:3">
      <c r="C2716"/>
    </row>
    <row r="2717" spans="3:3">
      <c r="C2717"/>
    </row>
    <row r="2718" spans="3:3">
      <c r="C2718"/>
    </row>
    <row r="2719" spans="3:3">
      <c r="C2719"/>
    </row>
    <row r="2720" spans="3:3">
      <c r="C2720"/>
    </row>
    <row r="2721" spans="3:3">
      <c r="C2721"/>
    </row>
    <row r="2722" spans="3:3">
      <c r="C2722"/>
    </row>
    <row r="2723" spans="3:3">
      <c r="C2723"/>
    </row>
    <row r="2724" spans="3:3">
      <c r="C2724"/>
    </row>
    <row r="2725" spans="3:3">
      <c r="C2725"/>
    </row>
    <row r="2726" spans="3:3">
      <c r="C2726"/>
    </row>
    <row r="2727" spans="3:3">
      <c r="C2727"/>
    </row>
    <row r="2728" spans="3:3">
      <c r="C2728"/>
    </row>
    <row r="2729" spans="3:3">
      <c r="C2729"/>
    </row>
    <row r="2730" spans="3:3">
      <c r="C2730"/>
    </row>
    <row r="2731" spans="3:3">
      <c r="C2731"/>
    </row>
    <row r="2732" spans="3:3">
      <c r="C2732"/>
    </row>
    <row r="2733" spans="3:3">
      <c r="C2733"/>
    </row>
    <row r="2734" spans="3:3">
      <c r="C2734"/>
    </row>
    <row r="2735" spans="3:3">
      <c r="C2735"/>
    </row>
    <row r="2736" spans="3:3">
      <c r="C2736"/>
    </row>
    <row r="2737" spans="3:3">
      <c r="C2737"/>
    </row>
    <row r="2738" spans="3:3">
      <c r="C2738"/>
    </row>
    <row r="2739" spans="3:3">
      <c r="C2739"/>
    </row>
    <row r="2740" spans="3:3">
      <c r="C2740"/>
    </row>
    <row r="2741" spans="3:3">
      <c r="C2741"/>
    </row>
    <row r="2742" spans="3:3">
      <c r="C2742"/>
    </row>
    <row r="2743" spans="3:3">
      <c r="C2743"/>
    </row>
    <row r="2744" spans="3:3">
      <c r="C2744"/>
    </row>
    <row r="2745" spans="3:3">
      <c r="C2745"/>
    </row>
    <row r="2746" spans="3:3">
      <c r="C2746"/>
    </row>
    <row r="2747" spans="3:3">
      <c r="C2747"/>
    </row>
    <row r="2748" spans="3:3">
      <c r="C2748"/>
    </row>
    <row r="2749" spans="3:3">
      <c r="C2749"/>
    </row>
    <row r="2750" spans="3:3">
      <c r="C2750"/>
    </row>
    <row r="2751" spans="3:3">
      <c r="C2751"/>
    </row>
    <row r="2752" spans="3:3">
      <c r="C2752"/>
    </row>
    <row r="2753" spans="3:3">
      <c r="C2753"/>
    </row>
    <row r="2754" spans="3:3">
      <c r="C2754"/>
    </row>
    <row r="2755" spans="3:3">
      <c r="C2755"/>
    </row>
    <row r="2756" spans="3:3">
      <c r="C2756"/>
    </row>
    <row r="2757" spans="3:3">
      <c r="C2757"/>
    </row>
    <row r="2758" spans="3:3">
      <c r="C2758"/>
    </row>
    <row r="2759" spans="3:3">
      <c r="C2759"/>
    </row>
    <row r="2760" spans="3:3">
      <c r="C2760"/>
    </row>
    <row r="2761" spans="3:3">
      <c r="C2761"/>
    </row>
    <row r="2762" spans="3:3">
      <c r="C2762"/>
    </row>
    <row r="2763" spans="3:3">
      <c r="C2763"/>
    </row>
    <row r="2764" spans="3:3">
      <c r="C2764"/>
    </row>
    <row r="2765" spans="3:3">
      <c r="C2765"/>
    </row>
    <row r="2766" spans="3:3">
      <c r="C2766"/>
    </row>
    <row r="2767" spans="3:3">
      <c r="C2767"/>
    </row>
    <row r="2768" spans="3:3">
      <c r="C2768"/>
    </row>
    <row r="2769" spans="3:3">
      <c r="C2769"/>
    </row>
    <row r="2770" spans="3:3">
      <c r="C2770"/>
    </row>
    <row r="2771" spans="3:3">
      <c r="C2771"/>
    </row>
    <row r="2772" spans="3:3">
      <c r="C2772"/>
    </row>
    <row r="2773" spans="3:3">
      <c r="C2773"/>
    </row>
    <row r="2774" spans="3:3">
      <c r="C2774"/>
    </row>
    <row r="2775" spans="3:3">
      <c r="C2775"/>
    </row>
    <row r="2776" spans="3:3">
      <c r="C2776"/>
    </row>
    <row r="2777" spans="3:3">
      <c r="C2777"/>
    </row>
    <row r="2778" spans="3:3">
      <c r="C2778"/>
    </row>
    <row r="2779" spans="3:3">
      <c r="C2779"/>
    </row>
    <row r="2780" spans="3:3">
      <c r="C2780"/>
    </row>
    <row r="2781" spans="3:3">
      <c r="C2781"/>
    </row>
    <row r="2782" spans="3:3">
      <c r="C2782"/>
    </row>
    <row r="2783" spans="3:3">
      <c r="C2783"/>
    </row>
    <row r="2784" spans="3:3">
      <c r="C2784"/>
    </row>
    <row r="2785" spans="3:3">
      <c r="C2785"/>
    </row>
    <row r="2786" spans="3:3">
      <c r="C2786"/>
    </row>
    <row r="2787" spans="3:3">
      <c r="C2787"/>
    </row>
    <row r="2788" spans="3:3">
      <c r="C2788"/>
    </row>
    <row r="2789" spans="3:3">
      <c r="C2789"/>
    </row>
    <row r="2790" spans="3:3">
      <c r="C2790"/>
    </row>
    <row r="2791" spans="3:3">
      <c r="C2791"/>
    </row>
    <row r="2792" spans="3:3">
      <c r="C2792"/>
    </row>
    <row r="2793" spans="3:3">
      <c r="C2793"/>
    </row>
    <row r="2794" spans="3:3">
      <c r="C2794"/>
    </row>
    <row r="2795" spans="3:3">
      <c r="C2795"/>
    </row>
    <row r="2796" spans="3:3">
      <c r="C2796"/>
    </row>
    <row r="2797" spans="3:3">
      <c r="C2797"/>
    </row>
    <row r="2798" spans="3:3">
      <c r="C2798"/>
    </row>
    <row r="2799" spans="3:3">
      <c r="C2799"/>
    </row>
    <row r="2800" spans="3:3">
      <c r="C2800"/>
    </row>
    <row r="2801" spans="3:3">
      <c r="C2801"/>
    </row>
    <row r="2802" spans="3:3">
      <c r="C2802"/>
    </row>
    <row r="2803" spans="3:3">
      <c r="C2803"/>
    </row>
    <row r="2804" spans="3:3">
      <c r="C2804"/>
    </row>
    <row r="2805" spans="3:3">
      <c r="C2805"/>
    </row>
    <row r="2806" spans="3:3">
      <c r="C2806"/>
    </row>
    <row r="2807" spans="3:3">
      <c r="C2807"/>
    </row>
    <row r="2808" spans="3:3">
      <c r="C2808"/>
    </row>
    <row r="2809" spans="3:3">
      <c r="C2809"/>
    </row>
    <row r="2810" spans="3:3">
      <c r="C2810"/>
    </row>
    <row r="2811" spans="3:3">
      <c r="C2811"/>
    </row>
    <row r="2812" spans="3:3">
      <c r="C2812"/>
    </row>
    <row r="2813" spans="3:3">
      <c r="C2813"/>
    </row>
    <row r="2814" spans="3:3">
      <c r="C2814"/>
    </row>
    <row r="2815" spans="3:3">
      <c r="C2815"/>
    </row>
    <row r="2816" spans="3:3">
      <c r="C2816"/>
    </row>
    <row r="2817" spans="3:3">
      <c r="C2817"/>
    </row>
    <row r="2818" spans="3:3">
      <c r="C2818"/>
    </row>
    <row r="2819" spans="3:3">
      <c r="C2819"/>
    </row>
    <row r="2820" spans="3:3">
      <c r="C2820"/>
    </row>
    <row r="2821" spans="3:3">
      <c r="C2821"/>
    </row>
    <row r="2822" spans="3:3">
      <c r="C2822"/>
    </row>
    <row r="2823" spans="3:3">
      <c r="C2823"/>
    </row>
    <row r="2824" spans="3:3">
      <c r="C2824"/>
    </row>
    <row r="2825" spans="3:3">
      <c r="C2825"/>
    </row>
    <row r="2826" spans="3:3">
      <c r="C2826"/>
    </row>
    <row r="2827" spans="3:3">
      <c r="C2827"/>
    </row>
    <row r="2828" spans="3:3">
      <c r="C2828"/>
    </row>
    <row r="2829" spans="3:3">
      <c r="C2829"/>
    </row>
    <row r="2830" spans="3:3">
      <c r="C2830"/>
    </row>
    <row r="2831" spans="3:3">
      <c r="C2831"/>
    </row>
    <row r="2832" spans="3:3">
      <c r="C2832"/>
    </row>
    <row r="2833" spans="3:3">
      <c r="C2833"/>
    </row>
    <row r="2834" spans="3:3">
      <c r="C2834"/>
    </row>
    <row r="2835" spans="3:3">
      <c r="C2835"/>
    </row>
    <row r="2836" spans="3:3">
      <c r="C2836"/>
    </row>
    <row r="2837" spans="3:3">
      <c r="C2837"/>
    </row>
    <row r="2838" spans="3:3">
      <c r="C2838"/>
    </row>
    <row r="2839" spans="3:3">
      <c r="C2839"/>
    </row>
    <row r="2840" spans="3:3">
      <c r="C2840"/>
    </row>
    <row r="2841" spans="3:3">
      <c r="C2841"/>
    </row>
    <row r="2842" spans="3:3">
      <c r="C2842"/>
    </row>
    <row r="2843" spans="3:3">
      <c r="C2843"/>
    </row>
    <row r="2844" spans="3:3">
      <c r="C2844"/>
    </row>
    <row r="2845" spans="3:3">
      <c r="C2845"/>
    </row>
    <row r="2846" spans="3:3">
      <c r="C2846"/>
    </row>
    <row r="2847" spans="3:3">
      <c r="C2847"/>
    </row>
    <row r="2848" spans="3:3">
      <c r="C2848"/>
    </row>
    <row r="2849" spans="3:3">
      <c r="C2849"/>
    </row>
    <row r="2850" spans="3:3">
      <c r="C2850"/>
    </row>
    <row r="2851" spans="3:3">
      <c r="C2851"/>
    </row>
    <row r="2852" spans="3:3">
      <c r="C2852"/>
    </row>
    <row r="2853" spans="3:3">
      <c r="C2853"/>
    </row>
    <row r="2854" spans="3:3">
      <c r="C2854"/>
    </row>
    <row r="2855" spans="3:3">
      <c r="C2855"/>
    </row>
    <row r="2856" spans="3:3">
      <c r="C2856"/>
    </row>
    <row r="2857" spans="3:3">
      <c r="C2857"/>
    </row>
    <row r="2858" spans="3:3">
      <c r="C2858"/>
    </row>
    <row r="2859" spans="3:3">
      <c r="C2859"/>
    </row>
    <row r="2860" spans="3:3">
      <c r="C2860"/>
    </row>
    <row r="2861" spans="3:3">
      <c r="C2861"/>
    </row>
    <row r="2862" spans="3:3">
      <c r="C2862"/>
    </row>
    <row r="2863" spans="3:3">
      <c r="C2863"/>
    </row>
    <row r="2864" spans="3:3">
      <c r="C2864"/>
    </row>
    <row r="2865" spans="3:3">
      <c r="C2865"/>
    </row>
    <row r="2866" spans="3:3">
      <c r="C2866"/>
    </row>
    <row r="2867" spans="3:3">
      <c r="C2867"/>
    </row>
    <row r="2868" spans="3:3">
      <c r="C2868"/>
    </row>
    <row r="2869" spans="3:3">
      <c r="C2869"/>
    </row>
    <row r="2870" spans="3:3">
      <c r="C2870"/>
    </row>
    <row r="2871" spans="3:3">
      <c r="C2871"/>
    </row>
    <row r="2872" spans="3:3">
      <c r="C2872"/>
    </row>
    <row r="2873" spans="3:3">
      <c r="C2873"/>
    </row>
    <row r="2874" spans="3:3">
      <c r="C2874"/>
    </row>
    <row r="2875" spans="3:3">
      <c r="C2875"/>
    </row>
    <row r="2876" spans="3:3">
      <c r="C2876"/>
    </row>
    <row r="2877" spans="3:3">
      <c r="C2877"/>
    </row>
    <row r="2878" spans="3:3">
      <c r="C2878"/>
    </row>
    <row r="2879" spans="3:3">
      <c r="C2879"/>
    </row>
    <row r="2880" spans="3:3">
      <c r="C2880"/>
    </row>
    <row r="2881" spans="3:3">
      <c r="C2881"/>
    </row>
    <row r="2882" spans="3:3">
      <c r="C2882"/>
    </row>
    <row r="2883" spans="3:3">
      <c r="C2883"/>
    </row>
    <row r="2884" spans="3:3">
      <c r="C2884"/>
    </row>
    <row r="2885" spans="3:3">
      <c r="C2885"/>
    </row>
    <row r="2886" spans="3:3">
      <c r="C2886"/>
    </row>
    <row r="2887" spans="3:3">
      <c r="C2887"/>
    </row>
    <row r="2888" spans="3:3">
      <c r="C2888"/>
    </row>
    <row r="2889" spans="3:3">
      <c r="C2889"/>
    </row>
    <row r="2890" spans="3:3">
      <c r="C2890"/>
    </row>
    <row r="2891" spans="3:3">
      <c r="C2891"/>
    </row>
    <row r="2892" spans="3:3">
      <c r="C2892"/>
    </row>
    <row r="2893" spans="3:3">
      <c r="C2893"/>
    </row>
    <row r="2894" spans="3:3">
      <c r="C2894"/>
    </row>
    <row r="2895" spans="3:3">
      <c r="C2895"/>
    </row>
    <row r="2896" spans="3:3">
      <c r="C2896"/>
    </row>
    <row r="2897" spans="3:3">
      <c r="C2897"/>
    </row>
    <row r="2898" spans="3:3">
      <c r="C2898"/>
    </row>
    <row r="2899" spans="3:3">
      <c r="C2899"/>
    </row>
    <row r="2900" spans="3:3">
      <c r="C2900"/>
    </row>
    <row r="2901" spans="3:3">
      <c r="C2901"/>
    </row>
    <row r="2902" spans="3:3">
      <c r="C2902"/>
    </row>
    <row r="2903" spans="3:3">
      <c r="C2903"/>
    </row>
    <row r="2904" spans="3:3">
      <c r="C2904"/>
    </row>
    <row r="2905" spans="3:3">
      <c r="C2905"/>
    </row>
    <row r="2906" spans="3:3">
      <c r="C2906"/>
    </row>
    <row r="2907" spans="3:3">
      <c r="C2907"/>
    </row>
    <row r="2908" spans="3:3">
      <c r="C2908"/>
    </row>
    <row r="2909" spans="3:3">
      <c r="C2909"/>
    </row>
    <row r="2910" spans="3:3">
      <c r="C2910"/>
    </row>
    <row r="2911" spans="3:3">
      <c r="C2911"/>
    </row>
    <row r="2912" spans="3:3">
      <c r="C2912"/>
    </row>
    <row r="2913" spans="3:3">
      <c r="C2913"/>
    </row>
    <row r="2914" spans="3:3">
      <c r="C2914"/>
    </row>
    <row r="2915" spans="3:3">
      <c r="C2915"/>
    </row>
    <row r="2916" spans="3:3">
      <c r="C2916"/>
    </row>
    <row r="2917" spans="3:3">
      <c r="C2917"/>
    </row>
    <row r="2918" spans="3:3">
      <c r="C2918"/>
    </row>
    <row r="2919" spans="3:3">
      <c r="C2919"/>
    </row>
    <row r="2920" spans="3:3">
      <c r="C2920"/>
    </row>
    <row r="2921" spans="3:3">
      <c r="C2921"/>
    </row>
    <row r="2922" spans="3:3">
      <c r="C2922"/>
    </row>
    <row r="2923" spans="3:3">
      <c r="C2923"/>
    </row>
    <row r="2924" spans="3:3">
      <c r="C2924"/>
    </row>
    <row r="2925" spans="3:3">
      <c r="C2925"/>
    </row>
    <row r="2926" spans="3:3">
      <c r="C2926"/>
    </row>
    <row r="2927" spans="3:3">
      <c r="C2927"/>
    </row>
    <row r="2928" spans="3:3">
      <c r="C2928"/>
    </row>
    <row r="2929" spans="3:3">
      <c r="C2929"/>
    </row>
    <row r="2930" spans="3:3">
      <c r="C2930"/>
    </row>
    <row r="2931" spans="3:3">
      <c r="C2931"/>
    </row>
    <row r="2932" spans="3:3">
      <c r="C2932"/>
    </row>
    <row r="2933" spans="3:3">
      <c r="C2933"/>
    </row>
    <row r="2934" spans="3:3">
      <c r="C2934"/>
    </row>
    <row r="2935" spans="3:3">
      <c r="C2935"/>
    </row>
    <row r="2936" spans="3:3">
      <c r="C2936"/>
    </row>
    <row r="2937" spans="3:3">
      <c r="C2937"/>
    </row>
    <row r="2938" spans="3:3">
      <c r="C2938"/>
    </row>
    <row r="2939" spans="3:3">
      <c r="C2939"/>
    </row>
    <row r="2940" spans="3:3">
      <c r="C2940"/>
    </row>
    <row r="2941" spans="3:3">
      <c r="C2941"/>
    </row>
    <row r="2942" spans="3:3">
      <c r="C2942"/>
    </row>
    <row r="2943" spans="3:3">
      <c r="C2943"/>
    </row>
    <row r="2944" spans="3:3">
      <c r="C2944"/>
    </row>
    <row r="2945" spans="3:3">
      <c r="C2945"/>
    </row>
    <row r="2946" spans="3:3">
      <c r="C2946"/>
    </row>
    <row r="2947" spans="3:3">
      <c r="C2947"/>
    </row>
    <row r="2948" spans="3:3">
      <c r="C2948"/>
    </row>
    <row r="2949" spans="3:3">
      <c r="C2949"/>
    </row>
    <row r="2950" spans="3:3">
      <c r="C2950"/>
    </row>
    <row r="2951" spans="3:3">
      <c r="C2951"/>
    </row>
    <row r="2952" spans="3:3">
      <c r="C2952"/>
    </row>
    <row r="2953" spans="3:3">
      <c r="C2953"/>
    </row>
    <row r="2954" spans="3:3">
      <c r="C2954"/>
    </row>
    <row r="2955" spans="3:3">
      <c r="C2955"/>
    </row>
    <row r="2956" spans="3:3">
      <c r="C2956"/>
    </row>
    <row r="2957" spans="3:3">
      <c r="C2957"/>
    </row>
    <row r="2958" spans="3:3">
      <c r="C2958"/>
    </row>
    <row r="2959" spans="3:3">
      <c r="C2959"/>
    </row>
    <row r="2960" spans="3:3">
      <c r="C2960"/>
    </row>
    <row r="2961" spans="3:3">
      <c r="C2961"/>
    </row>
    <row r="2962" spans="3:3">
      <c r="C2962"/>
    </row>
    <row r="2963" spans="3:3">
      <c r="C2963"/>
    </row>
    <row r="2964" spans="3:3">
      <c r="C2964"/>
    </row>
    <row r="2965" spans="3:3">
      <c r="C2965"/>
    </row>
    <row r="2966" spans="3:3">
      <c r="C2966"/>
    </row>
    <row r="2967" spans="3:3">
      <c r="C2967"/>
    </row>
    <row r="2968" spans="3:3">
      <c r="C2968"/>
    </row>
    <row r="2969" spans="3:3">
      <c r="C2969"/>
    </row>
    <row r="2970" spans="3:3">
      <c r="C2970"/>
    </row>
    <row r="2971" spans="3:3">
      <c r="C2971"/>
    </row>
    <row r="2972" spans="3:3">
      <c r="C2972"/>
    </row>
    <row r="2973" spans="3:3">
      <c r="C2973"/>
    </row>
    <row r="2974" spans="3:3">
      <c r="C2974"/>
    </row>
    <row r="2975" spans="3:3">
      <c r="C2975"/>
    </row>
    <row r="2976" spans="3:3">
      <c r="C2976"/>
    </row>
    <row r="2977" spans="3:3">
      <c r="C2977"/>
    </row>
    <row r="2978" spans="3:3">
      <c r="C2978"/>
    </row>
    <row r="2979" spans="3:3">
      <c r="C2979"/>
    </row>
    <row r="2980" spans="3:3">
      <c r="C2980"/>
    </row>
    <row r="2981" spans="3:3">
      <c r="C2981"/>
    </row>
    <row r="2982" spans="3:3">
      <c r="C2982"/>
    </row>
    <row r="2983" spans="3:3">
      <c r="C2983"/>
    </row>
    <row r="2984" spans="3:3">
      <c r="C2984"/>
    </row>
    <row r="2985" spans="3:3">
      <c r="C2985"/>
    </row>
    <row r="2986" spans="3:3">
      <c r="C2986"/>
    </row>
    <row r="2987" spans="3:3">
      <c r="C2987"/>
    </row>
    <row r="2988" spans="3:3">
      <c r="C2988"/>
    </row>
    <row r="2989" spans="3:3">
      <c r="C2989"/>
    </row>
    <row r="2990" spans="3:3">
      <c r="C2990"/>
    </row>
    <row r="2991" spans="3:3">
      <c r="C2991"/>
    </row>
    <row r="2992" spans="3:3">
      <c r="C2992"/>
    </row>
    <row r="2993" spans="3:3">
      <c r="C2993"/>
    </row>
    <row r="2994" spans="3:3">
      <c r="C2994"/>
    </row>
    <row r="2995" spans="3:3">
      <c r="C2995"/>
    </row>
    <row r="2996" spans="3:3">
      <c r="C2996"/>
    </row>
    <row r="2997" spans="3:3">
      <c r="C2997"/>
    </row>
    <row r="2998" spans="3:3">
      <c r="C2998"/>
    </row>
    <row r="2999" spans="3:3">
      <c r="C2999"/>
    </row>
    <row r="3000" spans="3:3">
      <c r="C3000"/>
    </row>
    <row r="3001" spans="3:3">
      <c r="C3001"/>
    </row>
    <row r="3002" spans="3:3">
      <c r="C3002"/>
    </row>
    <row r="3003" spans="3:3">
      <c r="C3003"/>
    </row>
    <row r="3004" spans="3:3">
      <c r="C3004"/>
    </row>
    <row r="3005" spans="3:3">
      <c r="C3005"/>
    </row>
    <row r="3006" spans="3:3">
      <c r="C3006"/>
    </row>
    <row r="3007" spans="3:3">
      <c r="C3007"/>
    </row>
    <row r="3008" spans="3:3">
      <c r="C3008"/>
    </row>
    <row r="3009" spans="3:3">
      <c r="C3009"/>
    </row>
    <row r="3010" spans="3:3">
      <c r="C3010"/>
    </row>
    <row r="3011" spans="3:3">
      <c r="C3011"/>
    </row>
    <row r="3012" spans="3:3">
      <c r="C3012"/>
    </row>
    <row r="3013" spans="3:3">
      <c r="C3013"/>
    </row>
    <row r="3014" spans="3:3">
      <c r="C3014"/>
    </row>
    <row r="3015" spans="3:3">
      <c r="C3015"/>
    </row>
    <row r="3016" spans="3:3">
      <c r="C3016"/>
    </row>
    <row r="3017" spans="3:3">
      <c r="C3017"/>
    </row>
    <row r="3018" spans="3:3">
      <c r="C3018"/>
    </row>
    <row r="3019" spans="3:3">
      <c r="C3019"/>
    </row>
    <row r="3020" spans="3:3">
      <c r="C3020"/>
    </row>
    <row r="3021" spans="3:3">
      <c r="C3021"/>
    </row>
    <row r="3022" spans="3:3">
      <c r="C3022"/>
    </row>
    <row r="3023" spans="3:3">
      <c r="C3023"/>
    </row>
    <row r="3024" spans="3:3">
      <c r="C3024"/>
    </row>
    <row r="3025" spans="3:3">
      <c r="C3025"/>
    </row>
    <row r="3026" spans="3:3">
      <c r="C3026"/>
    </row>
    <row r="3027" spans="3:3">
      <c r="C3027"/>
    </row>
    <row r="3028" spans="3:3">
      <c r="C3028"/>
    </row>
    <row r="3029" spans="3:3">
      <c r="C3029"/>
    </row>
    <row r="3030" spans="3:3">
      <c r="C3030"/>
    </row>
    <row r="3031" spans="3:3">
      <c r="C3031"/>
    </row>
    <row r="3032" spans="3:3">
      <c r="C3032"/>
    </row>
    <row r="3033" spans="3:3">
      <c r="C3033"/>
    </row>
    <row r="3034" spans="3:3">
      <c r="C3034"/>
    </row>
    <row r="3035" spans="3:3">
      <c r="C3035"/>
    </row>
    <row r="3036" spans="3:3">
      <c r="C3036"/>
    </row>
    <row r="3037" spans="3:3">
      <c r="C3037"/>
    </row>
    <row r="3038" spans="3:3">
      <c r="C3038"/>
    </row>
    <row r="3039" spans="3:3">
      <c r="C3039"/>
    </row>
    <row r="3040" spans="3:3">
      <c r="C3040"/>
    </row>
    <row r="3041" spans="3:3">
      <c r="C3041"/>
    </row>
    <row r="3042" spans="3:3">
      <c r="C3042"/>
    </row>
    <row r="3043" spans="3:3">
      <c r="C3043"/>
    </row>
    <row r="3044" spans="3:3">
      <c r="C3044"/>
    </row>
    <row r="3045" spans="3:3">
      <c r="C3045"/>
    </row>
    <row r="3046" spans="3:3">
      <c r="C3046"/>
    </row>
    <row r="3047" spans="3:3">
      <c r="C3047"/>
    </row>
    <row r="3048" spans="3:3">
      <c r="C3048"/>
    </row>
    <row r="3049" spans="3:3">
      <c r="C3049"/>
    </row>
    <row r="3050" spans="3:3">
      <c r="C3050"/>
    </row>
    <row r="3051" spans="3:3">
      <c r="C3051"/>
    </row>
    <row r="3052" spans="3:3">
      <c r="C3052"/>
    </row>
    <row r="3053" spans="3:3">
      <c r="C3053"/>
    </row>
    <row r="3054" spans="3:3">
      <c r="C3054"/>
    </row>
    <row r="3055" spans="3:3">
      <c r="C3055"/>
    </row>
    <row r="3056" spans="3:3">
      <c r="C3056"/>
    </row>
    <row r="3057" spans="3:3">
      <c r="C3057"/>
    </row>
    <row r="3058" spans="3:3">
      <c r="C3058"/>
    </row>
    <row r="3059" spans="3:3">
      <c r="C3059"/>
    </row>
    <row r="3060" spans="3:3">
      <c r="C3060"/>
    </row>
    <row r="3061" spans="3:3">
      <c r="C3061"/>
    </row>
    <row r="3062" spans="3:3">
      <c r="C3062"/>
    </row>
    <row r="3063" spans="3:3">
      <c r="C3063"/>
    </row>
    <row r="3064" spans="3:3">
      <c r="C3064"/>
    </row>
    <row r="3065" spans="3:3">
      <c r="C3065"/>
    </row>
    <row r="3066" spans="3:3">
      <c r="C3066"/>
    </row>
    <row r="3067" spans="3:3">
      <c r="C3067"/>
    </row>
    <row r="3068" spans="3:3">
      <c r="C3068"/>
    </row>
    <row r="3069" spans="3:3">
      <c r="C3069"/>
    </row>
    <row r="3070" spans="3:3">
      <c r="C3070"/>
    </row>
    <row r="3071" spans="3:3">
      <c r="C3071"/>
    </row>
    <row r="3072" spans="3:3">
      <c r="C3072"/>
    </row>
    <row r="3073" spans="3:3">
      <c r="C3073"/>
    </row>
    <row r="3074" spans="3:3">
      <c r="C3074"/>
    </row>
    <row r="3075" spans="3:3">
      <c r="C3075"/>
    </row>
    <row r="3076" spans="3:3">
      <c r="C3076"/>
    </row>
    <row r="3077" spans="3:3">
      <c r="C3077"/>
    </row>
    <row r="3078" spans="3:3">
      <c r="C3078"/>
    </row>
    <row r="3079" spans="3:3">
      <c r="C3079"/>
    </row>
    <row r="3080" spans="3:3">
      <c r="C3080"/>
    </row>
    <row r="3081" spans="3:3">
      <c r="C3081"/>
    </row>
    <row r="3082" spans="3:3">
      <c r="C3082"/>
    </row>
    <row r="3083" spans="3:3">
      <c r="C3083"/>
    </row>
    <row r="3084" spans="3:3">
      <c r="C3084"/>
    </row>
    <row r="3085" spans="3:3">
      <c r="C3085"/>
    </row>
    <row r="3086" spans="3:3">
      <c r="C3086"/>
    </row>
    <row r="3087" spans="3:3">
      <c r="C3087"/>
    </row>
    <row r="3088" spans="3:3">
      <c r="C3088"/>
    </row>
    <row r="3089" spans="3:3">
      <c r="C3089"/>
    </row>
    <row r="3090" spans="3:3">
      <c r="C3090"/>
    </row>
    <row r="3091" spans="3:3">
      <c r="C3091"/>
    </row>
    <row r="3092" spans="3:3">
      <c r="C3092"/>
    </row>
    <row r="3093" spans="3:3">
      <c r="C3093"/>
    </row>
    <row r="3094" spans="3:3">
      <c r="C3094"/>
    </row>
    <row r="3095" spans="3:3">
      <c r="C3095"/>
    </row>
    <row r="3096" spans="3:3">
      <c r="C3096"/>
    </row>
    <row r="3097" spans="3:3">
      <c r="C3097"/>
    </row>
    <row r="3098" spans="3:3">
      <c r="C3098"/>
    </row>
    <row r="3099" spans="3:3">
      <c r="C3099"/>
    </row>
    <row r="3100" spans="3:3">
      <c r="C3100"/>
    </row>
    <row r="3101" spans="3:3">
      <c r="C3101"/>
    </row>
    <row r="3102" spans="3:3">
      <c r="C3102"/>
    </row>
    <row r="3103" spans="3:3">
      <c r="C3103"/>
    </row>
    <row r="3104" spans="3:3">
      <c r="C3104"/>
    </row>
    <row r="3105" spans="3:3">
      <c r="C3105"/>
    </row>
    <row r="3106" spans="3:3">
      <c r="C3106"/>
    </row>
    <row r="3107" spans="3:3">
      <c r="C3107"/>
    </row>
    <row r="3108" spans="3:3">
      <c r="C3108"/>
    </row>
    <row r="3109" spans="3:3">
      <c r="C3109"/>
    </row>
    <row r="3110" spans="3:3">
      <c r="C3110"/>
    </row>
    <row r="3111" spans="3:3">
      <c r="C3111"/>
    </row>
    <row r="3112" spans="3:3">
      <c r="C3112"/>
    </row>
    <row r="3113" spans="3:3">
      <c r="C3113"/>
    </row>
    <row r="3114" spans="3:3">
      <c r="C3114"/>
    </row>
    <row r="3115" spans="3:3">
      <c r="C3115"/>
    </row>
    <row r="3116" spans="3:3">
      <c r="C3116"/>
    </row>
    <row r="3117" spans="3:3">
      <c r="C3117"/>
    </row>
    <row r="3118" spans="3:3">
      <c r="C3118"/>
    </row>
    <row r="3119" spans="3:3">
      <c r="C3119"/>
    </row>
    <row r="3120" spans="3:3">
      <c r="C3120"/>
    </row>
    <row r="3121" spans="3:3">
      <c r="C3121"/>
    </row>
    <row r="3122" spans="3:3">
      <c r="C3122"/>
    </row>
    <row r="3123" spans="3:3">
      <c r="C3123"/>
    </row>
    <row r="3124" spans="3:3">
      <c r="C3124"/>
    </row>
    <row r="3125" spans="3:3">
      <c r="C3125"/>
    </row>
    <row r="3126" spans="3:3">
      <c r="C3126"/>
    </row>
    <row r="3127" spans="3:3">
      <c r="C3127"/>
    </row>
    <row r="3128" spans="3:3">
      <c r="C3128"/>
    </row>
    <row r="3129" spans="3:3">
      <c r="C3129"/>
    </row>
    <row r="3130" spans="3:3">
      <c r="C3130"/>
    </row>
    <row r="3131" spans="3:3">
      <c r="C3131"/>
    </row>
    <row r="3132" spans="3:3">
      <c r="C3132"/>
    </row>
    <row r="3133" spans="3:3">
      <c r="C3133"/>
    </row>
    <row r="3134" spans="3:3">
      <c r="C3134"/>
    </row>
    <row r="3135" spans="3:3">
      <c r="C3135"/>
    </row>
    <row r="3136" spans="3:3">
      <c r="C3136"/>
    </row>
    <row r="3137" spans="3:3">
      <c r="C3137"/>
    </row>
    <row r="3138" spans="3:3">
      <c r="C3138"/>
    </row>
    <row r="3139" spans="3:3">
      <c r="C3139"/>
    </row>
    <row r="3140" spans="3:3">
      <c r="C3140"/>
    </row>
    <row r="3141" spans="3:3">
      <c r="C3141"/>
    </row>
    <row r="3142" spans="3:3">
      <c r="C3142"/>
    </row>
    <row r="3143" spans="3:3">
      <c r="C3143"/>
    </row>
    <row r="3144" spans="3:3">
      <c r="C3144"/>
    </row>
    <row r="3145" spans="3:3">
      <c r="C3145"/>
    </row>
    <row r="3146" spans="3:3">
      <c r="C3146"/>
    </row>
    <row r="3147" spans="3:3">
      <c r="C3147"/>
    </row>
    <row r="3148" spans="3:3">
      <c r="C3148"/>
    </row>
    <row r="3149" spans="3:3">
      <c r="C3149"/>
    </row>
    <row r="3150" spans="3:3">
      <c r="C3150"/>
    </row>
    <row r="3151" spans="3:3">
      <c r="C3151"/>
    </row>
    <row r="3152" spans="3:3">
      <c r="C3152"/>
    </row>
    <row r="3153" spans="3:3">
      <c r="C3153"/>
    </row>
    <row r="3154" spans="3:3">
      <c r="C3154"/>
    </row>
    <row r="3155" spans="3:3">
      <c r="C3155"/>
    </row>
    <row r="3156" spans="3:3">
      <c r="C3156"/>
    </row>
    <row r="3157" spans="3:3">
      <c r="C3157"/>
    </row>
    <row r="3158" spans="3:3">
      <c r="C3158"/>
    </row>
    <row r="3159" spans="3:3">
      <c r="C3159"/>
    </row>
    <row r="3160" spans="3:3">
      <c r="C3160"/>
    </row>
    <row r="3161" spans="3:3">
      <c r="C3161"/>
    </row>
    <row r="3162" spans="3:3">
      <c r="C3162"/>
    </row>
    <row r="3163" spans="3:3">
      <c r="C3163"/>
    </row>
    <row r="3164" spans="3:3">
      <c r="C3164"/>
    </row>
    <row r="3165" spans="3:3">
      <c r="C3165"/>
    </row>
    <row r="3166" spans="3:3">
      <c r="C3166"/>
    </row>
    <row r="3167" spans="3:3">
      <c r="C3167"/>
    </row>
    <row r="3168" spans="3:3">
      <c r="C3168"/>
    </row>
    <row r="3169" spans="3:3">
      <c r="C3169"/>
    </row>
    <row r="3170" spans="3:3">
      <c r="C3170"/>
    </row>
    <row r="3171" spans="3:3">
      <c r="C3171"/>
    </row>
    <row r="3172" spans="3:3">
      <c r="C3172"/>
    </row>
    <row r="3173" spans="3:3">
      <c r="C3173"/>
    </row>
    <row r="3174" spans="3:3">
      <c r="C3174"/>
    </row>
    <row r="3175" spans="3:3">
      <c r="C3175"/>
    </row>
    <row r="3176" spans="3:3">
      <c r="C3176"/>
    </row>
    <row r="3177" spans="3:3">
      <c r="C3177"/>
    </row>
    <row r="3178" spans="3:3">
      <c r="C3178"/>
    </row>
    <row r="3179" spans="3:3">
      <c r="C3179"/>
    </row>
    <row r="3180" spans="3:3">
      <c r="C3180"/>
    </row>
    <row r="3181" spans="3:3">
      <c r="C3181"/>
    </row>
    <row r="3182" spans="3:3">
      <c r="C3182"/>
    </row>
    <row r="3183" spans="3:3">
      <c r="C3183"/>
    </row>
    <row r="3184" spans="3:3">
      <c r="C3184"/>
    </row>
    <row r="3185" spans="3:3">
      <c r="C3185"/>
    </row>
    <row r="3186" spans="3:3">
      <c r="C3186"/>
    </row>
    <row r="3187" spans="3:3">
      <c r="C3187"/>
    </row>
    <row r="3188" spans="3:3">
      <c r="C3188"/>
    </row>
    <row r="3189" spans="3:3">
      <c r="C3189"/>
    </row>
    <row r="3190" spans="3:3">
      <c r="C3190"/>
    </row>
    <row r="3191" spans="3:3">
      <c r="C3191"/>
    </row>
    <row r="3192" spans="3:3">
      <c r="C3192"/>
    </row>
    <row r="3193" spans="3:3">
      <c r="C3193"/>
    </row>
    <row r="3194" spans="3:3">
      <c r="C3194"/>
    </row>
    <row r="3195" spans="3:3">
      <c r="C3195"/>
    </row>
    <row r="3196" spans="3:3">
      <c r="C3196"/>
    </row>
    <row r="3197" spans="3:3">
      <c r="C3197"/>
    </row>
    <row r="3198" spans="3:3">
      <c r="C3198"/>
    </row>
    <row r="3199" spans="3:3">
      <c r="C3199"/>
    </row>
    <row r="3200" spans="3:3">
      <c r="C3200"/>
    </row>
    <row r="3201" spans="3:3">
      <c r="C3201"/>
    </row>
    <row r="3202" spans="3:3">
      <c r="C3202"/>
    </row>
    <row r="3203" spans="3:3">
      <c r="C3203"/>
    </row>
    <row r="3204" spans="3:3">
      <c r="C3204"/>
    </row>
    <row r="3205" spans="3:3">
      <c r="C3205"/>
    </row>
    <row r="3206" spans="3:3">
      <c r="C3206"/>
    </row>
    <row r="3207" spans="3:3">
      <c r="C3207"/>
    </row>
    <row r="3208" spans="3:3">
      <c r="C3208"/>
    </row>
    <row r="3209" spans="3:3">
      <c r="C3209"/>
    </row>
    <row r="3210" spans="3:3">
      <c r="C3210"/>
    </row>
    <row r="3211" spans="3:3">
      <c r="C3211"/>
    </row>
    <row r="3212" spans="3:3">
      <c r="C3212"/>
    </row>
    <row r="3213" spans="3:3">
      <c r="C3213"/>
    </row>
    <row r="3214" spans="3:3">
      <c r="C3214"/>
    </row>
    <row r="3215" spans="3:3">
      <c r="C3215"/>
    </row>
    <row r="3216" spans="3:3">
      <c r="C3216"/>
    </row>
    <row r="3217" spans="3:3">
      <c r="C3217"/>
    </row>
    <row r="3218" spans="3:3">
      <c r="C3218"/>
    </row>
    <row r="3219" spans="3:3">
      <c r="C3219"/>
    </row>
    <row r="3220" spans="3:3">
      <c r="C3220"/>
    </row>
    <row r="3221" spans="3:3">
      <c r="C3221"/>
    </row>
    <row r="3222" spans="3:3">
      <c r="C3222"/>
    </row>
    <row r="3223" spans="3:3">
      <c r="C3223"/>
    </row>
    <row r="3224" spans="3:3">
      <c r="C3224"/>
    </row>
    <row r="3225" spans="3:3">
      <c r="C3225"/>
    </row>
    <row r="3226" spans="3:3">
      <c r="C3226"/>
    </row>
    <row r="3227" spans="3:3">
      <c r="C3227"/>
    </row>
    <row r="3228" spans="3:3">
      <c r="C3228"/>
    </row>
    <row r="3229" spans="3:3">
      <c r="C3229"/>
    </row>
    <row r="3230" spans="3:3">
      <c r="C3230"/>
    </row>
    <row r="3231" spans="3:3">
      <c r="C3231"/>
    </row>
    <row r="3232" spans="3:3">
      <c r="C3232"/>
    </row>
    <row r="3233" spans="3:3">
      <c r="C3233"/>
    </row>
    <row r="3234" spans="3:3">
      <c r="C3234"/>
    </row>
    <row r="3235" spans="3:3">
      <c r="C3235"/>
    </row>
    <row r="3236" spans="3:3">
      <c r="C3236"/>
    </row>
    <row r="3237" spans="3:3">
      <c r="C3237"/>
    </row>
    <row r="3238" spans="3:3">
      <c r="C3238"/>
    </row>
    <row r="3239" spans="3:3">
      <c r="C3239"/>
    </row>
    <row r="3240" spans="3:3">
      <c r="C3240"/>
    </row>
    <row r="3241" spans="3:3">
      <c r="C3241"/>
    </row>
    <row r="3242" spans="3:3">
      <c r="C3242"/>
    </row>
    <row r="3243" spans="3:3">
      <c r="C3243"/>
    </row>
    <row r="3244" spans="3:3">
      <c r="C3244"/>
    </row>
    <row r="3245" spans="3:3">
      <c r="C3245"/>
    </row>
    <row r="3246" spans="3:3">
      <c r="C3246"/>
    </row>
    <row r="3247" spans="3:3">
      <c r="C3247"/>
    </row>
    <row r="3248" spans="3:3">
      <c r="C3248"/>
    </row>
    <row r="3249" spans="3:3">
      <c r="C3249"/>
    </row>
    <row r="3250" spans="3:3">
      <c r="C3250"/>
    </row>
    <row r="3251" spans="3:3">
      <c r="C3251"/>
    </row>
    <row r="3252" spans="3:3">
      <c r="C3252"/>
    </row>
    <row r="3253" spans="3:3">
      <c r="C3253"/>
    </row>
    <row r="3254" spans="3:3">
      <c r="C3254"/>
    </row>
    <row r="3255" spans="3:3">
      <c r="C3255"/>
    </row>
    <row r="3256" spans="3:3">
      <c r="C3256"/>
    </row>
    <row r="3257" spans="3:3">
      <c r="C3257"/>
    </row>
    <row r="3258" spans="3:3">
      <c r="C3258"/>
    </row>
    <row r="3259" spans="3:3">
      <c r="C3259"/>
    </row>
    <row r="3260" spans="3:3">
      <c r="C3260"/>
    </row>
    <row r="3261" spans="3:3">
      <c r="C3261"/>
    </row>
    <row r="3262" spans="3:3">
      <c r="C3262"/>
    </row>
    <row r="3263" spans="3:3">
      <c r="C3263"/>
    </row>
    <row r="3264" spans="3:3">
      <c r="C3264"/>
    </row>
    <row r="3265" spans="3:3">
      <c r="C3265"/>
    </row>
    <row r="3266" spans="3:3">
      <c r="C3266"/>
    </row>
    <row r="3267" spans="3:3">
      <c r="C3267"/>
    </row>
    <row r="3268" spans="3:3">
      <c r="C3268"/>
    </row>
    <row r="3269" spans="3:3">
      <c r="C3269"/>
    </row>
    <row r="3270" spans="3:3">
      <c r="C3270"/>
    </row>
    <row r="3271" spans="3:3">
      <c r="C3271"/>
    </row>
    <row r="3272" spans="3:3">
      <c r="C3272"/>
    </row>
    <row r="3273" spans="3:3">
      <c r="C3273"/>
    </row>
    <row r="3274" spans="3:3">
      <c r="C3274"/>
    </row>
    <row r="3275" spans="3:3">
      <c r="C3275"/>
    </row>
    <row r="3276" spans="3:3">
      <c r="C3276"/>
    </row>
    <row r="3277" spans="3:3">
      <c r="C3277"/>
    </row>
    <row r="3278" spans="3:3">
      <c r="C3278"/>
    </row>
    <row r="3279" spans="3:3">
      <c r="C3279"/>
    </row>
    <row r="3280" spans="3:3">
      <c r="C3280"/>
    </row>
    <row r="3281" spans="3:3">
      <c r="C3281"/>
    </row>
    <row r="3282" spans="3:3">
      <c r="C3282"/>
    </row>
    <row r="3283" spans="3:3">
      <c r="C3283"/>
    </row>
    <row r="3284" spans="3:3">
      <c r="C3284"/>
    </row>
    <row r="3285" spans="3:3">
      <c r="C3285"/>
    </row>
    <row r="3286" spans="3:3">
      <c r="C3286"/>
    </row>
    <row r="3287" spans="3:3">
      <c r="C3287"/>
    </row>
    <row r="3288" spans="3:3">
      <c r="C3288"/>
    </row>
    <row r="3289" spans="3:3">
      <c r="C3289"/>
    </row>
    <row r="3290" spans="3:3">
      <c r="C3290"/>
    </row>
    <row r="3291" spans="3:3">
      <c r="C3291"/>
    </row>
    <row r="3292" spans="3:3">
      <c r="C3292"/>
    </row>
    <row r="3293" spans="3:3">
      <c r="C3293"/>
    </row>
    <row r="3294" spans="3:3">
      <c r="C3294"/>
    </row>
    <row r="3295" spans="3:3">
      <c r="C3295"/>
    </row>
    <row r="3296" spans="3:3">
      <c r="C3296"/>
    </row>
    <row r="3297" spans="3:3">
      <c r="C3297"/>
    </row>
    <row r="3298" spans="3:3">
      <c r="C3298"/>
    </row>
    <row r="3299" spans="3:3">
      <c r="C3299"/>
    </row>
    <row r="3300" spans="3:3">
      <c r="C3300"/>
    </row>
    <row r="3301" spans="3:3">
      <c r="C3301"/>
    </row>
    <row r="3302" spans="3:3">
      <c r="C3302"/>
    </row>
    <row r="3303" spans="3:3">
      <c r="C3303"/>
    </row>
    <row r="3304" spans="3:3">
      <c r="C3304"/>
    </row>
    <row r="3305" spans="3:3">
      <c r="C3305"/>
    </row>
    <row r="3306" spans="3:3">
      <c r="C3306"/>
    </row>
    <row r="3307" spans="3:3">
      <c r="C3307"/>
    </row>
    <row r="3308" spans="3:3">
      <c r="C3308"/>
    </row>
    <row r="3309" spans="3:3">
      <c r="C3309"/>
    </row>
    <row r="3310" spans="3:3">
      <c r="C3310"/>
    </row>
    <row r="3311" spans="3:3">
      <c r="C3311"/>
    </row>
    <row r="3312" spans="3:3">
      <c r="C3312"/>
    </row>
    <row r="3313" spans="3:3">
      <c r="C3313"/>
    </row>
    <row r="3314" spans="3:3">
      <c r="C3314"/>
    </row>
    <row r="3315" spans="3:3">
      <c r="C3315"/>
    </row>
    <row r="3316" spans="3:3">
      <c r="C3316"/>
    </row>
    <row r="3317" spans="3:3">
      <c r="C3317"/>
    </row>
    <row r="3318" spans="3:3">
      <c r="C3318"/>
    </row>
    <row r="3319" spans="3:3">
      <c r="C3319"/>
    </row>
    <row r="3320" spans="3:3">
      <c r="C3320"/>
    </row>
    <row r="3321" spans="3:3">
      <c r="C3321"/>
    </row>
    <row r="3322" spans="3:3">
      <c r="C3322"/>
    </row>
    <row r="3323" spans="3:3">
      <c r="C3323"/>
    </row>
    <row r="3324" spans="3:3">
      <c r="C3324"/>
    </row>
    <row r="3325" spans="3:3">
      <c r="C3325"/>
    </row>
    <row r="3326" spans="3:3">
      <c r="C3326"/>
    </row>
    <row r="3327" spans="3:3">
      <c r="C3327"/>
    </row>
    <row r="3328" spans="3:3">
      <c r="C3328"/>
    </row>
    <row r="3329" spans="3:3">
      <c r="C3329"/>
    </row>
    <row r="3330" spans="3:3">
      <c r="C3330"/>
    </row>
    <row r="3331" spans="3:3">
      <c r="C3331"/>
    </row>
    <row r="3332" spans="3:3">
      <c r="C3332"/>
    </row>
    <row r="3333" spans="3:3">
      <c r="C3333"/>
    </row>
    <row r="3334" spans="3:3">
      <c r="C3334"/>
    </row>
    <row r="3335" spans="3:3">
      <c r="C3335"/>
    </row>
    <row r="3336" spans="3:3">
      <c r="C3336"/>
    </row>
    <row r="3337" spans="3:3">
      <c r="C3337"/>
    </row>
    <row r="3338" spans="3:3">
      <c r="C3338"/>
    </row>
    <row r="3339" spans="3:3">
      <c r="C3339"/>
    </row>
    <row r="3340" spans="3:3">
      <c r="C3340"/>
    </row>
    <row r="3341" spans="3:3">
      <c r="C3341"/>
    </row>
    <row r="3342" spans="3:3">
      <c r="C3342"/>
    </row>
    <row r="3343" spans="3:3">
      <c r="C3343"/>
    </row>
    <row r="3344" spans="3:3">
      <c r="C3344"/>
    </row>
    <row r="3345" spans="3:3">
      <c r="C3345"/>
    </row>
    <row r="3346" spans="3:3">
      <c r="C3346"/>
    </row>
    <row r="3347" spans="3:3">
      <c r="C3347"/>
    </row>
    <row r="3348" spans="3:3">
      <c r="C3348"/>
    </row>
    <row r="3349" spans="3:3">
      <c r="C3349"/>
    </row>
    <row r="3350" spans="3:3">
      <c r="C3350"/>
    </row>
    <row r="3351" spans="3:3">
      <c r="C3351"/>
    </row>
    <row r="3352" spans="3:3">
      <c r="C3352"/>
    </row>
    <row r="3353" spans="3:3">
      <c r="C3353"/>
    </row>
    <row r="3354" spans="3:3">
      <c r="C3354"/>
    </row>
    <row r="3355" spans="3:3">
      <c r="C3355"/>
    </row>
    <row r="3356" spans="3:3">
      <c r="C3356"/>
    </row>
    <row r="3357" spans="3:3">
      <c r="C3357"/>
    </row>
    <row r="3358" spans="3:3">
      <c r="C3358"/>
    </row>
    <row r="3359" spans="3:3">
      <c r="C3359"/>
    </row>
    <row r="3360" spans="3:3">
      <c r="C3360"/>
    </row>
    <row r="3361" spans="3:3">
      <c r="C3361"/>
    </row>
    <row r="3362" spans="3:3">
      <c r="C3362"/>
    </row>
    <row r="3363" spans="3:3">
      <c r="C3363"/>
    </row>
    <row r="3364" spans="3:3">
      <c r="C3364"/>
    </row>
    <row r="3365" spans="3:3">
      <c r="C3365"/>
    </row>
    <row r="3366" spans="3:3">
      <c r="C3366"/>
    </row>
    <row r="3367" spans="3:3">
      <c r="C3367"/>
    </row>
    <row r="3368" spans="3:3">
      <c r="C3368"/>
    </row>
    <row r="3369" spans="3:3">
      <c r="C3369"/>
    </row>
    <row r="3370" spans="3:3">
      <c r="C3370"/>
    </row>
    <row r="3371" spans="3:3">
      <c r="C3371"/>
    </row>
    <row r="3372" spans="3:3">
      <c r="C3372"/>
    </row>
    <row r="3373" spans="3:3">
      <c r="C3373"/>
    </row>
    <row r="3374" spans="3:3">
      <c r="C3374"/>
    </row>
    <row r="3375" spans="3:3">
      <c r="C3375"/>
    </row>
    <row r="3376" spans="3:3">
      <c r="C3376"/>
    </row>
    <row r="3377" spans="3:3">
      <c r="C3377"/>
    </row>
    <row r="3378" spans="3:3">
      <c r="C3378"/>
    </row>
    <row r="3379" spans="3:3">
      <c r="C3379"/>
    </row>
    <row r="3380" spans="3:3">
      <c r="C3380"/>
    </row>
    <row r="3381" spans="3:3">
      <c r="C3381"/>
    </row>
    <row r="3382" spans="3:3">
      <c r="C3382"/>
    </row>
    <row r="3383" spans="3:3">
      <c r="C3383"/>
    </row>
    <row r="3384" spans="3:3">
      <c r="C3384"/>
    </row>
    <row r="3385" spans="3:3">
      <c r="C3385"/>
    </row>
    <row r="3386" spans="3:3">
      <c r="C3386"/>
    </row>
    <row r="3387" spans="3:3">
      <c r="C3387"/>
    </row>
    <row r="3388" spans="3:3">
      <c r="C3388"/>
    </row>
    <row r="3389" spans="3:3">
      <c r="C3389"/>
    </row>
    <row r="3390" spans="3:3">
      <c r="C3390"/>
    </row>
    <row r="3391" spans="3:3">
      <c r="C3391"/>
    </row>
    <row r="3392" spans="3:3">
      <c r="C3392"/>
    </row>
    <row r="3393" spans="3:3">
      <c r="C3393"/>
    </row>
    <row r="3394" spans="3:3">
      <c r="C3394"/>
    </row>
    <row r="3395" spans="3:3">
      <c r="C3395"/>
    </row>
    <row r="3396" spans="3:3">
      <c r="C3396"/>
    </row>
    <row r="3397" spans="3:3">
      <c r="C3397"/>
    </row>
    <row r="3398" spans="3:3">
      <c r="C3398"/>
    </row>
    <row r="3399" spans="3:3">
      <c r="C3399"/>
    </row>
    <row r="3400" spans="3:3">
      <c r="C3400"/>
    </row>
    <row r="3401" spans="3:3">
      <c r="C3401"/>
    </row>
    <row r="3402" spans="3:3">
      <c r="C3402"/>
    </row>
    <row r="3403" spans="3:3">
      <c r="C3403"/>
    </row>
    <row r="3404" spans="3:3">
      <c r="C3404"/>
    </row>
    <row r="3405" spans="3:3">
      <c r="C3405"/>
    </row>
    <row r="3406" spans="3:3">
      <c r="C3406"/>
    </row>
    <row r="3407" spans="3:3">
      <c r="C3407"/>
    </row>
    <row r="3408" spans="3:3">
      <c r="C3408"/>
    </row>
    <row r="3409" spans="3:3">
      <c r="C3409"/>
    </row>
    <row r="3410" spans="3:3">
      <c r="C3410"/>
    </row>
    <row r="3411" spans="3:3">
      <c r="C3411"/>
    </row>
    <row r="3412" spans="3:3">
      <c r="C3412"/>
    </row>
    <row r="3413" spans="3:3">
      <c r="C3413"/>
    </row>
    <row r="3414" spans="3:3">
      <c r="C3414"/>
    </row>
    <row r="3415" spans="3:3">
      <c r="C3415"/>
    </row>
    <row r="3416" spans="3:3">
      <c r="C3416"/>
    </row>
    <row r="3417" spans="3:3">
      <c r="C3417"/>
    </row>
    <row r="3418" spans="3:3">
      <c r="C3418"/>
    </row>
    <row r="3419" spans="3:3">
      <c r="C3419"/>
    </row>
    <row r="3420" spans="3:3">
      <c r="C3420"/>
    </row>
    <row r="3421" spans="3:3">
      <c r="C3421"/>
    </row>
    <row r="3422" spans="3:3">
      <c r="C3422"/>
    </row>
    <row r="3423" spans="3:3">
      <c r="C3423"/>
    </row>
    <row r="3424" spans="3:3">
      <c r="C3424"/>
    </row>
    <row r="3425" spans="3:3">
      <c r="C3425"/>
    </row>
    <row r="3426" spans="3:3">
      <c r="C3426"/>
    </row>
    <row r="3427" spans="3:3">
      <c r="C3427"/>
    </row>
    <row r="3428" spans="3:3">
      <c r="C3428"/>
    </row>
    <row r="3429" spans="3:3">
      <c r="C3429"/>
    </row>
    <row r="3430" spans="3:3">
      <c r="C3430"/>
    </row>
    <row r="3431" spans="3:3">
      <c r="C3431"/>
    </row>
    <row r="3432" spans="3:3">
      <c r="C3432"/>
    </row>
    <row r="3433" spans="3:3">
      <c r="C3433"/>
    </row>
    <row r="3434" spans="3:3">
      <c r="C3434"/>
    </row>
    <row r="3435" spans="3:3">
      <c r="C3435"/>
    </row>
    <row r="3436" spans="3:3">
      <c r="C3436"/>
    </row>
    <row r="3437" spans="3:3">
      <c r="C3437"/>
    </row>
    <row r="3438" spans="3:3">
      <c r="C3438"/>
    </row>
    <row r="3439" spans="3:3">
      <c r="C3439"/>
    </row>
    <row r="3440" spans="3:3">
      <c r="C3440"/>
    </row>
    <row r="3441" spans="3:3">
      <c r="C3441"/>
    </row>
    <row r="3442" spans="3:3">
      <c r="C3442"/>
    </row>
    <row r="3443" spans="3:3">
      <c r="C3443"/>
    </row>
    <row r="3444" spans="3:3">
      <c r="C3444"/>
    </row>
    <row r="3445" spans="3:3">
      <c r="C3445"/>
    </row>
    <row r="3446" spans="3:3">
      <c r="C3446"/>
    </row>
    <row r="3447" spans="3:3">
      <c r="C3447"/>
    </row>
    <row r="3448" spans="3:3">
      <c r="C3448"/>
    </row>
    <row r="3449" spans="3:3">
      <c r="C3449"/>
    </row>
    <row r="3450" spans="3:3">
      <c r="C3450"/>
    </row>
    <row r="3451" spans="3:3">
      <c r="C3451"/>
    </row>
    <row r="3452" spans="3:3">
      <c r="C3452"/>
    </row>
    <row r="3453" spans="3:3">
      <c r="C3453"/>
    </row>
    <row r="3454" spans="3:3">
      <c r="C3454"/>
    </row>
    <row r="3455" spans="3:3">
      <c r="C3455"/>
    </row>
    <row r="3456" spans="3:3">
      <c r="C3456"/>
    </row>
    <row r="3457" spans="3:3">
      <c r="C3457"/>
    </row>
    <row r="3458" spans="3:3">
      <c r="C3458"/>
    </row>
    <row r="3459" spans="3:3">
      <c r="C3459"/>
    </row>
    <row r="3460" spans="3:3">
      <c r="C3460"/>
    </row>
    <row r="3461" spans="3:3">
      <c r="C3461"/>
    </row>
    <row r="3462" spans="3:3">
      <c r="C3462"/>
    </row>
    <row r="3463" spans="3:3">
      <c r="C3463"/>
    </row>
    <row r="3464" spans="3:3">
      <c r="C3464"/>
    </row>
    <row r="3465" spans="3:3">
      <c r="C3465"/>
    </row>
    <row r="3466" spans="3:3">
      <c r="C3466"/>
    </row>
    <row r="3467" spans="3:3">
      <c r="C3467"/>
    </row>
    <row r="3468" spans="3:3">
      <c r="C3468"/>
    </row>
    <row r="3469" spans="3:3">
      <c r="C3469"/>
    </row>
    <row r="3470" spans="3:3">
      <c r="C3470"/>
    </row>
    <row r="3471" spans="3:3">
      <c r="C3471"/>
    </row>
    <row r="3472" spans="3:3">
      <c r="C3472"/>
    </row>
    <row r="3473" spans="3:3">
      <c r="C3473"/>
    </row>
    <row r="3474" spans="3:3">
      <c r="C3474"/>
    </row>
    <row r="3475" spans="3:3">
      <c r="C3475"/>
    </row>
    <row r="3476" spans="3:3">
      <c r="C3476"/>
    </row>
    <row r="3477" spans="3:3">
      <c r="C3477"/>
    </row>
    <row r="3478" spans="3:3">
      <c r="C3478"/>
    </row>
    <row r="3479" spans="3:3">
      <c r="C3479"/>
    </row>
    <row r="3480" spans="3:3">
      <c r="C3480"/>
    </row>
    <row r="3481" spans="3:3">
      <c r="C3481"/>
    </row>
    <row r="3482" spans="3:3">
      <c r="C3482"/>
    </row>
    <row r="3483" spans="3:3">
      <c r="C3483"/>
    </row>
    <row r="3484" spans="3:3">
      <c r="C3484"/>
    </row>
    <row r="3485" spans="3:3">
      <c r="C3485"/>
    </row>
    <row r="3486" spans="3:3">
      <c r="C3486"/>
    </row>
    <row r="3487" spans="3:3">
      <c r="C3487"/>
    </row>
    <row r="3488" spans="3:3">
      <c r="C3488"/>
    </row>
    <row r="3489" spans="3:3">
      <c r="C3489"/>
    </row>
    <row r="3490" spans="3:3">
      <c r="C3490"/>
    </row>
    <row r="3491" spans="3:3">
      <c r="C3491"/>
    </row>
    <row r="3492" spans="3:3">
      <c r="C3492"/>
    </row>
    <row r="3493" spans="3:3">
      <c r="C3493"/>
    </row>
    <row r="3494" spans="3:3">
      <c r="C3494"/>
    </row>
    <row r="3495" spans="3:3">
      <c r="C3495"/>
    </row>
    <row r="3496" spans="3:3">
      <c r="C3496"/>
    </row>
    <row r="3497" spans="3:3">
      <c r="C3497"/>
    </row>
    <row r="3498" spans="3:3">
      <c r="C3498"/>
    </row>
    <row r="3499" spans="3:3">
      <c r="C3499"/>
    </row>
    <row r="3500" spans="3:3">
      <c r="C3500"/>
    </row>
    <row r="3501" spans="3:3">
      <c r="C3501"/>
    </row>
    <row r="3502" spans="3:3">
      <c r="C3502"/>
    </row>
    <row r="3503" spans="3:3">
      <c r="C3503"/>
    </row>
    <row r="3504" spans="3:3">
      <c r="C3504"/>
    </row>
    <row r="3505" spans="3:3">
      <c r="C3505"/>
    </row>
    <row r="3506" spans="3:3">
      <c r="C3506"/>
    </row>
    <row r="3507" spans="3:3">
      <c r="C3507"/>
    </row>
    <row r="3508" spans="3:3">
      <c r="C3508"/>
    </row>
    <row r="3509" spans="3:3">
      <c r="C3509"/>
    </row>
    <row r="3510" spans="3:3">
      <c r="C3510"/>
    </row>
    <row r="3511" spans="3:3">
      <c r="C3511"/>
    </row>
    <row r="3512" spans="3:3">
      <c r="C3512"/>
    </row>
    <row r="3513" spans="3:3">
      <c r="C3513"/>
    </row>
    <row r="3514" spans="3:3">
      <c r="C3514"/>
    </row>
    <row r="3515" spans="3:3">
      <c r="C3515"/>
    </row>
    <row r="3516" spans="3:3">
      <c r="C3516"/>
    </row>
    <row r="3517" spans="3:3">
      <c r="C3517"/>
    </row>
    <row r="3518" spans="3:3">
      <c r="C3518"/>
    </row>
    <row r="3519" spans="3:3">
      <c r="C3519"/>
    </row>
    <row r="3520" spans="3:3">
      <c r="C3520"/>
    </row>
    <row r="3521" spans="3:3">
      <c r="C3521"/>
    </row>
    <row r="3522" spans="3:3">
      <c r="C3522"/>
    </row>
    <row r="3523" spans="3:3">
      <c r="C3523"/>
    </row>
    <row r="3524" spans="3:3">
      <c r="C3524"/>
    </row>
    <row r="3525" spans="3:3">
      <c r="C3525"/>
    </row>
    <row r="3526" spans="3:3">
      <c r="C3526"/>
    </row>
    <row r="3527" spans="3:3">
      <c r="C3527"/>
    </row>
    <row r="3528" spans="3:3">
      <c r="C3528"/>
    </row>
    <row r="3529" spans="3:3">
      <c r="C3529"/>
    </row>
    <row r="3530" spans="3:3">
      <c r="C3530"/>
    </row>
    <row r="3531" spans="3:3">
      <c r="C3531"/>
    </row>
    <row r="3532" spans="3:3">
      <c r="C3532"/>
    </row>
    <row r="3533" spans="3:3">
      <c r="C3533"/>
    </row>
    <row r="3534" spans="3:3">
      <c r="C3534"/>
    </row>
    <row r="3535" spans="3:3">
      <c r="C3535"/>
    </row>
    <row r="3536" spans="3:3">
      <c r="C3536"/>
    </row>
    <row r="3537" spans="3:3">
      <c r="C3537"/>
    </row>
    <row r="3538" spans="3:3">
      <c r="C3538"/>
    </row>
    <row r="3539" spans="3:3">
      <c r="C3539"/>
    </row>
    <row r="3540" spans="3:3">
      <c r="C3540"/>
    </row>
    <row r="3541" spans="3:3">
      <c r="C3541"/>
    </row>
    <row r="3542" spans="3:3">
      <c r="C3542"/>
    </row>
    <row r="3543" spans="3:3">
      <c r="C3543"/>
    </row>
    <row r="3544" spans="3:3">
      <c r="C3544"/>
    </row>
    <row r="3545" spans="3:3">
      <c r="C3545"/>
    </row>
    <row r="3546" spans="3:3">
      <c r="C3546"/>
    </row>
    <row r="3547" spans="3:3">
      <c r="C3547"/>
    </row>
    <row r="3548" spans="3:3">
      <c r="C3548"/>
    </row>
    <row r="3549" spans="3:3">
      <c r="C3549"/>
    </row>
    <row r="3550" spans="3:3">
      <c r="C3550"/>
    </row>
    <row r="3551" spans="3:3">
      <c r="C3551"/>
    </row>
    <row r="3552" spans="3:3">
      <c r="C3552"/>
    </row>
    <row r="3553" spans="3:3">
      <c r="C3553"/>
    </row>
    <row r="3554" spans="3:3">
      <c r="C3554"/>
    </row>
    <row r="3555" spans="3:3">
      <c r="C3555"/>
    </row>
    <row r="3556" spans="3:3">
      <c r="C3556"/>
    </row>
    <row r="3557" spans="3:3">
      <c r="C3557"/>
    </row>
    <row r="3558" spans="3:3">
      <c r="C3558"/>
    </row>
    <row r="3559" spans="3:3">
      <c r="C3559"/>
    </row>
    <row r="3560" spans="3:3">
      <c r="C3560"/>
    </row>
    <row r="3561" spans="3:3">
      <c r="C3561"/>
    </row>
    <row r="3562" spans="3:3">
      <c r="C3562"/>
    </row>
    <row r="3563" spans="3:3">
      <c r="C3563"/>
    </row>
    <row r="3564" spans="3:3">
      <c r="C3564"/>
    </row>
    <row r="3565" spans="3:3">
      <c r="C3565"/>
    </row>
    <row r="3566" spans="3:3">
      <c r="C3566"/>
    </row>
    <row r="3567" spans="3:3">
      <c r="C3567"/>
    </row>
    <row r="3568" spans="3:3">
      <c r="C3568"/>
    </row>
    <row r="3569" spans="3:3">
      <c r="C3569"/>
    </row>
    <row r="3570" spans="3:3">
      <c r="C3570"/>
    </row>
    <row r="3571" spans="3:3">
      <c r="C3571"/>
    </row>
    <row r="3572" spans="3:3">
      <c r="C3572"/>
    </row>
    <row r="3573" spans="3:3">
      <c r="C3573"/>
    </row>
    <row r="3574" spans="3:3">
      <c r="C3574"/>
    </row>
    <row r="3575" spans="3:3">
      <c r="C3575"/>
    </row>
    <row r="3576" spans="3:3">
      <c r="C3576"/>
    </row>
    <row r="3577" spans="3:3">
      <c r="C3577"/>
    </row>
    <row r="3578" spans="3:3">
      <c r="C3578"/>
    </row>
    <row r="3579" spans="3:3">
      <c r="C3579"/>
    </row>
    <row r="3580" spans="3:3">
      <c r="C3580"/>
    </row>
    <row r="3581" spans="3:3">
      <c r="C3581"/>
    </row>
    <row r="3582" spans="3:3">
      <c r="C3582"/>
    </row>
    <row r="3583" spans="3:3">
      <c r="C3583"/>
    </row>
    <row r="3584" spans="3:3">
      <c r="C3584"/>
    </row>
    <row r="3585" spans="3:3">
      <c r="C3585"/>
    </row>
    <row r="3586" spans="3:3">
      <c r="C3586"/>
    </row>
    <row r="3587" spans="3:3">
      <c r="C3587"/>
    </row>
    <row r="3588" spans="3:3">
      <c r="C3588"/>
    </row>
    <row r="3589" spans="3:3">
      <c r="C3589"/>
    </row>
    <row r="3590" spans="3:3">
      <c r="C3590"/>
    </row>
    <row r="3591" spans="3:3">
      <c r="C3591"/>
    </row>
    <row r="3592" spans="3:3">
      <c r="C3592"/>
    </row>
    <row r="3593" spans="3:3">
      <c r="C3593"/>
    </row>
    <row r="3594" spans="3:3">
      <c r="C3594"/>
    </row>
    <row r="3595" spans="3:3">
      <c r="C3595"/>
    </row>
    <row r="3596" spans="3:3">
      <c r="C3596"/>
    </row>
    <row r="3597" spans="3:3">
      <c r="C3597"/>
    </row>
    <row r="3598" spans="3:3">
      <c r="C3598"/>
    </row>
    <row r="3599" spans="3:3">
      <c r="C3599"/>
    </row>
    <row r="3600" spans="3:3">
      <c r="C3600"/>
    </row>
    <row r="3601" spans="3:3">
      <c r="C3601"/>
    </row>
    <row r="3602" spans="3:3">
      <c r="C3602"/>
    </row>
    <row r="3603" spans="3:3">
      <c r="C3603"/>
    </row>
    <row r="3604" spans="3:3">
      <c r="C3604"/>
    </row>
    <row r="3605" spans="3:3">
      <c r="C3605"/>
    </row>
    <row r="3606" spans="3:3">
      <c r="C3606"/>
    </row>
    <row r="3607" spans="3:3">
      <c r="C3607"/>
    </row>
    <row r="3608" spans="3:3">
      <c r="C3608"/>
    </row>
    <row r="3609" spans="3:3">
      <c r="C3609"/>
    </row>
    <row r="3610" spans="3:3">
      <c r="C3610"/>
    </row>
    <row r="3611" spans="3:3">
      <c r="C3611"/>
    </row>
    <row r="3612" spans="3:3">
      <c r="C3612"/>
    </row>
    <row r="3613" spans="3:3">
      <c r="C3613"/>
    </row>
    <row r="3614" spans="3:3">
      <c r="C3614"/>
    </row>
    <row r="3615" spans="3:3">
      <c r="C3615"/>
    </row>
    <row r="3616" spans="3:3">
      <c r="C3616"/>
    </row>
    <row r="3617" spans="3:3">
      <c r="C3617"/>
    </row>
    <row r="3618" spans="3:3">
      <c r="C3618"/>
    </row>
    <row r="3619" spans="3:3">
      <c r="C3619"/>
    </row>
    <row r="3620" spans="3:3">
      <c r="C3620"/>
    </row>
    <row r="3621" spans="3:3">
      <c r="C3621"/>
    </row>
    <row r="3622" spans="3:3">
      <c r="C3622"/>
    </row>
    <row r="3623" spans="3:3">
      <c r="C3623"/>
    </row>
    <row r="3624" spans="3:3">
      <c r="C3624"/>
    </row>
    <row r="3625" spans="3:3">
      <c r="C3625"/>
    </row>
    <row r="3626" spans="3:3">
      <c r="C3626"/>
    </row>
    <row r="3627" spans="3:3">
      <c r="C3627"/>
    </row>
    <row r="3628" spans="3:3">
      <c r="C3628"/>
    </row>
    <row r="3629" spans="3:3">
      <c r="C3629"/>
    </row>
    <row r="3630" spans="3:3">
      <c r="C3630"/>
    </row>
    <row r="3631" spans="3:3">
      <c r="C3631"/>
    </row>
    <row r="3632" spans="3:3">
      <c r="C3632"/>
    </row>
    <row r="3633" spans="3:3">
      <c r="C3633"/>
    </row>
    <row r="3634" spans="3:3">
      <c r="C3634"/>
    </row>
    <row r="3635" spans="3:3">
      <c r="C3635"/>
    </row>
    <row r="3636" spans="3:3">
      <c r="C3636"/>
    </row>
    <row r="3637" spans="3:3">
      <c r="C3637"/>
    </row>
    <row r="3638" spans="3:3">
      <c r="C3638"/>
    </row>
    <row r="3639" spans="3:3">
      <c r="C3639"/>
    </row>
    <row r="3640" spans="3:3">
      <c r="C3640"/>
    </row>
    <row r="3641" spans="3:3">
      <c r="C3641"/>
    </row>
    <row r="3642" spans="3:3">
      <c r="C3642"/>
    </row>
    <row r="3643" spans="3:3">
      <c r="C3643"/>
    </row>
    <row r="3644" spans="3:3">
      <c r="C3644"/>
    </row>
    <row r="3645" spans="3:3">
      <c r="C3645"/>
    </row>
    <row r="3646" spans="3:3">
      <c r="C3646"/>
    </row>
    <row r="3647" spans="3:3">
      <c r="C3647"/>
    </row>
    <row r="3648" spans="3:3">
      <c r="C3648"/>
    </row>
    <row r="3649" spans="3:3">
      <c r="C3649"/>
    </row>
    <row r="3650" spans="3:3">
      <c r="C3650"/>
    </row>
    <row r="3651" spans="3:3">
      <c r="C3651"/>
    </row>
    <row r="3652" spans="3:3">
      <c r="C3652"/>
    </row>
    <row r="3653" spans="3:3">
      <c r="C3653"/>
    </row>
    <row r="3654" spans="3:3">
      <c r="C3654"/>
    </row>
    <row r="3655" spans="3:3">
      <c r="C3655"/>
    </row>
    <row r="3656" spans="3:3">
      <c r="C3656"/>
    </row>
    <row r="3657" spans="3:3">
      <c r="C3657"/>
    </row>
    <row r="3658" spans="3:3">
      <c r="C3658"/>
    </row>
    <row r="3659" spans="3:3">
      <c r="C3659"/>
    </row>
    <row r="3660" spans="3:3">
      <c r="C3660"/>
    </row>
    <row r="3661" spans="3:3">
      <c r="C3661"/>
    </row>
    <row r="3662" spans="3:3">
      <c r="C3662"/>
    </row>
    <row r="3663" spans="3:3">
      <c r="C3663"/>
    </row>
    <row r="3664" spans="3:3">
      <c r="C3664"/>
    </row>
    <row r="3665" spans="3:3">
      <c r="C3665"/>
    </row>
    <row r="3666" spans="3:3">
      <c r="C3666"/>
    </row>
    <row r="3667" spans="3:3">
      <c r="C3667"/>
    </row>
    <row r="3668" spans="3:3">
      <c r="C3668"/>
    </row>
    <row r="3669" spans="3:3">
      <c r="C3669"/>
    </row>
    <row r="3670" spans="3:3">
      <c r="C3670"/>
    </row>
    <row r="3671" spans="3:3">
      <c r="C3671"/>
    </row>
    <row r="3672" spans="3:3">
      <c r="C3672"/>
    </row>
    <row r="3673" spans="3:3">
      <c r="C3673"/>
    </row>
    <row r="3674" spans="3:3">
      <c r="C3674"/>
    </row>
    <row r="3675" spans="3:3">
      <c r="C3675"/>
    </row>
    <row r="3676" spans="3:3">
      <c r="C3676"/>
    </row>
    <row r="3677" spans="3:3">
      <c r="C3677"/>
    </row>
    <row r="3678" spans="3:3">
      <c r="C3678"/>
    </row>
    <row r="3679" spans="3:3">
      <c r="C3679"/>
    </row>
    <row r="3680" spans="3:3">
      <c r="C3680"/>
    </row>
    <row r="3681" spans="3:3">
      <c r="C3681"/>
    </row>
    <row r="3682" spans="3:3">
      <c r="C3682"/>
    </row>
    <row r="3683" spans="3:3">
      <c r="C3683"/>
    </row>
    <row r="3684" spans="3:3">
      <c r="C3684"/>
    </row>
    <row r="3685" spans="3:3">
      <c r="C3685"/>
    </row>
    <row r="3686" spans="3:3">
      <c r="C3686"/>
    </row>
    <row r="3687" spans="3:3">
      <c r="C3687"/>
    </row>
    <row r="3688" spans="3:3">
      <c r="C3688"/>
    </row>
    <row r="3689" spans="3:3">
      <c r="C3689"/>
    </row>
    <row r="3690" spans="3:3">
      <c r="C3690"/>
    </row>
    <row r="3691" spans="3:3">
      <c r="C3691"/>
    </row>
    <row r="3692" spans="3:3">
      <c r="C3692"/>
    </row>
    <row r="3693" spans="3:3">
      <c r="C3693"/>
    </row>
    <row r="3694" spans="3:3">
      <c r="C3694"/>
    </row>
    <row r="3695" spans="3:3">
      <c r="C3695"/>
    </row>
    <row r="3696" spans="3:3">
      <c r="C3696"/>
    </row>
    <row r="3697" spans="3:3">
      <c r="C3697"/>
    </row>
    <row r="3698" spans="3:3">
      <c r="C3698"/>
    </row>
    <row r="3699" spans="3:3">
      <c r="C3699"/>
    </row>
    <row r="3700" spans="3:3">
      <c r="C3700"/>
    </row>
    <row r="3701" spans="3:3">
      <c r="C3701"/>
    </row>
    <row r="3702" spans="3:3">
      <c r="C3702"/>
    </row>
    <row r="3703" spans="3:3">
      <c r="C3703"/>
    </row>
    <row r="3704" spans="3:3">
      <c r="C3704"/>
    </row>
    <row r="3705" spans="3:3">
      <c r="C3705"/>
    </row>
    <row r="3706" spans="3:3">
      <c r="C3706"/>
    </row>
    <row r="3707" spans="3:3">
      <c r="C3707"/>
    </row>
    <row r="3708" spans="3:3">
      <c r="C3708"/>
    </row>
    <row r="3709" spans="3:3">
      <c r="C3709"/>
    </row>
    <row r="3710" spans="3:3">
      <c r="C3710"/>
    </row>
    <row r="3711" spans="3:3">
      <c r="C3711"/>
    </row>
    <row r="3712" spans="3:3">
      <c r="C3712"/>
    </row>
    <row r="3713" spans="3:3">
      <c r="C3713"/>
    </row>
    <row r="3714" spans="3:3">
      <c r="C3714"/>
    </row>
    <row r="3715" spans="3:3">
      <c r="C3715"/>
    </row>
    <row r="3716" spans="3:3">
      <c r="C3716"/>
    </row>
    <row r="3717" spans="3:3">
      <c r="C3717"/>
    </row>
    <row r="3718" spans="3:3">
      <c r="C3718"/>
    </row>
    <row r="3719" spans="3:3">
      <c r="C3719"/>
    </row>
    <row r="3720" spans="3:3">
      <c r="C3720"/>
    </row>
    <row r="3721" spans="3:3">
      <c r="C3721"/>
    </row>
    <row r="3722" spans="3:3">
      <c r="C3722"/>
    </row>
    <row r="3723" spans="3:3">
      <c r="C3723"/>
    </row>
    <row r="3724" spans="3:3">
      <c r="C3724"/>
    </row>
    <row r="3725" spans="3:3">
      <c r="C3725"/>
    </row>
    <row r="3726" spans="3:3">
      <c r="C3726"/>
    </row>
    <row r="3727" spans="3:3">
      <c r="C3727"/>
    </row>
    <row r="3728" spans="3:3">
      <c r="C3728"/>
    </row>
    <row r="3729" spans="3:3">
      <c r="C3729"/>
    </row>
    <row r="3730" spans="3:3">
      <c r="C3730"/>
    </row>
    <row r="3731" spans="3:3">
      <c r="C3731"/>
    </row>
    <row r="3732" spans="3:3">
      <c r="C3732"/>
    </row>
    <row r="3733" spans="3:3">
      <c r="C3733"/>
    </row>
    <row r="3734" spans="3:3">
      <c r="C3734"/>
    </row>
    <row r="3735" spans="3:3">
      <c r="C3735"/>
    </row>
    <row r="3736" spans="3:3">
      <c r="C3736"/>
    </row>
    <row r="3737" spans="3:3">
      <c r="C3737"/>
    </row>
    <row r="3738" spans="3:3">
      <c r="C3738"/>
    </row>
    <row r="3739" spans="3:3">
      <c r="C3739"/>
    </row>
    <row r="3740" spans="3:3">
      <c r="C3740"/>
    </row>
    <row r="3741" spans="3:3">
      <c r="C3741"/>
    </row>
    <row r="3742" spans="3:3">
      <c r="C3742"/>
    </row>
    <row r="3743" spans="3:3">
      <c r="C3743"/>
    </row>
    <row r="3744" spans="3:3">
      <c r="C3744"/>
    </row>
    <row r="3745" spans="3:3">
      <c r="C3745"/>
    </row>
    <row r="3746" spans="3:3">
      <c r="C3746"/>
    </row>
    <row r="3747" spans="3:3">
      <c r="C3747"/>
    </row>
    <row r="3748" spans="3:3">
      <c r="C3748"/>
    </row>
    <row r="3749" spans="3:3">
      <c r="C3749"/>
    </row>
    <row r="3750" spans="3:3">
      <c r="C3750"/>
    </row>
    <row r="3751" spans="3:3">
      <c r="C3751"/>
    </row>
    <row r="3752" spans="3:3">
      <c r="C3752"/>
    </row>
    <row r="3753" spans="3:3">
      <c r="C3753"/>
    </row>
    <row r="3754" spans="3:3">
      <c r="C3754"/>
    </row>
    <row r="3755" spans="3:3">
      <c r="C3755"/>
    </row>
    <row r="3756" spans="3:3">
      <c r="C3756"/>
    </row>
    <row r="3757" spans="3:3">
      <c r="C3757"/>
    </row>
    <row r="3758" spans="3:3">
      <c r="C3758"/>
    </row>
    <row r="3759" spans="3:3">
      <c r="C3759"/>
    </row>
    <row r="3760" spans="3:3">
      <c r="C3760"/>
    </row>
    <row r="3761" spans="3:3">
      <c r="C3761"/>
    </row>
    <row r="3762" spans="3:3">
      <c r="C3762"/>
    </row>
    <row r="3763" spans="3:3">
      <c r="C3763"/>
    </row>
    <row r="3764" spans="3:3">
      <c r="C3764"/>
    </row>
    <row r="3765" spans="3:3">
      <c r="C3765"/>
    </row>
    <row r="3766" spans="3:3">
      <c r="C3766"/>
    </row>
    <row r="3767" spans="3:3">
      <c r="C3767"/>
    </row>
    <row r="3768" spans="3:3">
      <c r="C3768"/>
    </row>
    <row r="3769" spans="3:3">
      <c r="C3769"/>
    </row>
    <row r="3770" spans="3:3">
      <c r="C3770"/>
    </row>
    <row r="3771" spans="3:3">
      <c r="C3771"/>
    </row>
    <row r="3772" spans="3:3">
      <c r="C3772"/>
    </row>
    <row r="3773" spans="3:3">
      <c r="C3773"/>
    </row>
    <row r="3774" spans="3:3">
      <c r="C3774"/>
    </row>
    <row r="3775" spans="3:3">
      <c r="C3775"/>
    </row>
    <row r="3776" spans="3:3">
      <c r="C3776"/>
    </row>
    <row r="3777" spans="3:3">
      <c r="C3777"/>
    </row>
    <row r="3778" spans="3:3">
      <c r="C3778"/>
    </row>
    <row r="3779" spans="3:3">
      <c r="C3779"/>
    </row>
    <row r="3780" spans="3:3">
      <c r="C3780"/>
    </row>
    <row r="3781" spans="3:3">
      <c r="C3781"/>
    </row>
    <row r="3782" spans="3:3">
      <c r="C3782"/>
    </row>
    <row r="3783" spans="3:3">
      <c r="C3783"/>
    </row>
    <row r="3784" spans="3:3">
      <c r="C3784"/>
    </row>
    <row r="3785" spans="3:3">
      <c r="C3785"/>
    </row>
    <row r="3786" spans="3:3">
      <c r="C3786"/>
    </row>
    <row r="3787" spans="3:3">
      <c r="C3787"/>
    </row>
    <row r="3788" spans="3:3">
      <c r="C3788"/>
    </row>
    <row r="3789" spans="3:3">
      <c r="C3789"/>
    </row>
    <row r="3790" spans="3:3">
      <c r="C3790"/>
    </row>
    <row r="3791" spans="3:3">
      <c r="C3791"/>
    </row>
    <row r="3792" spans="3:3">
      <c r="C3792"/>
    </row>
    <row r="3793" spans="3:3">
      <c r="C3793"/>
    </row>
    <row r="3794" spans="3:3">
      <c r="C3794"/>
    </row>
    <row r="3795" spans="3:3">
      <c r="C3795"/>
    </row>
    <row r="3796" spans="3:3">
      <c r="C3796"/>
    </row>
    <row r="3797" spans="3:3">
      <c r="C3797"/>
    </row>
    <row r="3798" spans="3:3">
      <c r="C3798"/>
    </row>
    <row r="3799" spans="3:3">
      <c r="C3799"/>
    </row>
    <row r="3800" spans="3:3">
      <c r="C3800"/>
    </row>
    <row r="3801" spans="3:3">
      <c r="C3801"/>
    </row>
    <row r="3802" spans="3:3">
      <c r="C3802"/>
    </row>
    <row r="3803" spans="3:3">
      <c r="C3803"/>
    </row>
    <row r="3804" spans="3:3">
      <c r="C3804"/>
    </row>
    <row r="3805" spans="3:3">
      <c r="C3805"/>
    </row>
    <row r="3806" spans="3:3">
      <c r="C3806"/>
    </row>
    <row r="3807" spans="3:3">
      <c r="C3807"/>
    </row>
    <row r="3808" spans="3:3">
      <c r="C3808"/>
    </row>
    <row r="3809" spans="3:3">
      <c r="C3809"/>
    </row>
    <row r="3810" spans="3:3">
      <c r="C3810"/>
    </row>
    <row r="3811" spans="3:3">
      <c r="C3811"/>
    </row>
    <row r="3812" spans="3:3">
      <c r="C3812"/>
    </row>
    <row r="3813" spans="3:3">
      <c r="C3813"/>
    </row>
    <row r="3814" spans="3:3">
      <c r="C3814"/>
    </row>
    <row r="3815" spans="3:3">
      <c r="C3815"/>
    </row>
    <row r="3816" spans="3:3">
      <c r="C3816"/>
    </row>
    <row r="3817" spans="3:3">
      <c r="C3817"/>
    </row>
    <row r="3818" spans="3:3">
      <c r="C3818"/>
    </row>
    <row r="3819" spans="3:3">
      <c r="C3819"/>
    </row>
    <row r="3820" spans="3:3">
      <c r="C3820"/>
    </row>
    <row r="3821" spans="3:3">
      <c r="C3821"/>
    </row>
    <row r="3822" spans="3:3">
      <c r="C3822"/>
    </row>
    <row r="3823" spans="3:3">
      <c r="C3823"/>
    </row>
    <row r="3824" spans="3:3">
      <c r="C3824"/>
    </row>
    <row r="3825" spans="3:3">
      <c r="C3825"/>
    </row>
    <row r="3826" spans="3:3">
      <c r="C3826"/>
    </row>
    <row r="3827" spans="3:3">
      <c r="C3827"/>
    </row>
    <row r="3828" spans="3:3">
      <c r="C3828"/>
    </row>
    <row r="3829" spans="3:3">
      <c r="C3829"/>
    </row>
    <row r="3830" spans="3:3">
      <c r="C3830"/>
    </row>
    <row r="3831" spans="3:3">
      <c r="C3831"/>
    </row>
    <row r="3832" spans="3:3">
      <c r="C3832"/>
    </row>
    <row r="3833" spans="3:3">
      <c r="C3833"/>
    </row>
    <row r="3834" spans="3:3">
      <c r="C3834"/>
    </row>
    <row r="3835" spans="3:3">
      <c r="C3835"/>
    </row>
    <row r="3836" spans="3:3">
      <c r="C3836"/>
    </row>
    <row r="3837" spans="3:3">
      <c r="C3837"/>
    </row>
    <row r="3838" spans="3:3">
      <c r="C3838"/>
    </row>
    <row r="3839" spans="3:3">
      <c r="C3839"/>
    </row>
    <row r="3840" spans="3:3">
      <c r="C3840"/>
    </row>
    <row r="3841" spans="3:3">
      <c r="C3841"/>
    </row>
    <row r="3842" spans="3:3">
      <c r="C3842"/>
    </row>
    <row r="3843" spans="3:3">
      <c r="C3843"/>
    </row>
    <row r="3844" spans="3:3">
      <c r="C3844"/>
    </row>
    <row r="3845" spans="3:3">
      <c r="C3845"/>
    </row>
    <row r="3846" spans="3:3">
      <c r="C3846"/>
    </row>
    <row r="3847" spans="3:3">
      <c r="C3847"/>
    </row>
    <row r="3848" spans="3:3">
      <c r="C3848"/>
    </row>
    <row r="3849" spans="3:3">
      <c r="C3849"/>
    </row>
    <row r="3850" spans="3:3">
      <c r="C3850"/>
    </row>
    <row r="3851" spans="3:3">
      <c r="C3851"/>
    </row>
    <row r="3852" spans="3:3">
      <c r="C3852"/>
    </row>
    <row r="3853" spans="3:3">
      <c r="C3853"/>
    </row>
    <row r="3854" spans="3:3">
      <c r="C3854"/>
    </row>
    <row r="3855" spans="3:3">
      <c r="C3855"/>
    </row>
    <row r="3856" spans="3:3">
      <c r="C3856"/>
    </row>
    <row r="3857" spans="3:3">
      <c r="C3857"/>
    </row>
    <row r="3858" spans="3:3">
      <c r="C3858"/>
    </row>
    <row r="3859" spans="3:3">
      <c r="C3859"/>
    </row>
    <row r="3860" spans="3:3">
      <c r="C3860"/>
    </row>
    <row r="3861" spans="3:3">
      <c r="C3861"/>
    </row>
    <row r="3862" spans="3:3">
      <c r="C3862"/>
    </row>
    <row r="3863" spans="3:3">
      <c r="C3863"/>
    </row>
    <row r="3864" spans="3:3">
      <c r="C3864"/>
    </row>
    <row r="3865" spans="3:3">
      <c r="C3865"/>
    </row>
    <row r="3866" spans="3:3">
      <c r="C3866"/>
    </row>
    <row r="3867" spans="3:3">
      <c r="C3867"/>
    </row>
    <row r="3868" spans="3:3">
      <c r="C3868"/>
    </row>
    <row r="3869" spans="3:3">
      <c r="C3869"/>
    </row>
    <row r="3870" spans="3:3">
      <c r="C3870"/>
    </row>
    <row r="3871" spans="3:3">
      <c r="C3871"/>
    </row>
    <row r="3872" spans="3:3">
      <c r="C3872"/>
    </row>
    <row r="3873" spans="3:3">
      <c r="C3873"/>
    </row>
    <row r="3874" spans="3:3">
      <c r="C3874"/>
    </row>
    <row r="3875" spans="3:3">
      <c r="C3875"/>
    </row>
    <row r="3876" spans="3:3">
      <c r="C3876"/>
    </row>
    <row r="3877" spans="3:3">
      <c r="C3877"/>
    </row>
    <row r="3878" spans="3:3">
      <c r="C3878"/>
    </row>
    <row r="3879" spans="3:3">
      <c r="C3879"/>
    </row>
    <row r="3880" spans="3:3">
      <c r="C3880"/>
    </row>
    <row r="3881" spans="3:3">
      <c r="C3881"/>
    </row>
    <row r="3882" spans="3:3">
      <c r="C3882"/>
    </row>
    <row r="3883" spans="3:3">
      <c r="C3883"/>
    </row>
    <row r="3884" spans="3:3">
      <c r="C3884"/>
    </row>
    <row r="3885" spans="3:3">
      <c r="C3885"/>
    </row>
    <row r="3886" spans="3:3">
      <c r="C3886"/>
    </row>
    <row r="3887" spans="3:3">
      <c r="C3887"/>
    </row>
    <row r="3888" spans="3:3">
      <c r="C3888"/>
    </row>
    <row r="3889" spans="3:3">
      <c r="C3889"/>
    </row>
    <row r="3890" spans="3:3">
      <c r="C3890"/>
    </row>
    <row r="3891" spans="3:3">
      <c r="C3891"/>
    </row>
    <row r="3892" spans="3:3">
      <c r="C3892"/>
    </row>
    <row r="3893" spans="3:3">
      <c r="C3893"/>
    </row>
    <row r="3894" spans="3:3">
      <c r="C3894"/>
    </row>
    <row r="3895" spans="3:3">
      <c r="C3895"/>
    </row>
    <row r="3896" spans="3:3">
      <c r="C3896"/>
    </row>
    <row r="3897" spans="3:3">
      <c r="C3897"/>
    </row>
    <row r="3898" spans="3:3">
      <c r="C3898"/>
    </row>
    <row r="3899" spans="3:3">
      <c r="C3899"/>
    </row>
    <row r="3900" spans="3:3">
      <c r="C3900"/>
    </row>
    <row r="3901" spans="3:3">
      <c r="C3901"/>
    </row>
    <row r="3902" spans="3:3">
      <c r="C3902"/>
    </row>
    <row r="3903" spans="3:3">
      <c r="C3903"/>
    </row>
    <row r="3904" spans="3:3">
      <c r="C3904"/>
    </row>
    <row r="3905" spans="3:3">
      <c r="C3905"/>
    </row>
    <row r="3906" spans="3:3">
      <c r="C3906"/>
    </row>
    <row r="3907" spans="3:3">
      <c r="C3907"/>
    </row>
    <row r="3908" spans="3:3">
      <c r="C3908"/>
    </row>
    <row r="3909" spans="3:3">
      <c r="C3909"/>
    </row>
    <row r="3910" spans="3:3">
      <c r="C3910"/>
    </row>
    <row r="3911" spans="3:3">
      <c r="C3911"/>
    </row>
    <row r="3912" spans="3:3">
      <c r="C3912"/>
    </row>
    <row r="3913" spans="3:3">
      <c r="C3913"/>
    </row>
    <row r="3914" spans="3:3">
      <c r="C3914"/>
    </row>
    <row r="3915" spans="3:3">
      <c r="C3915"/>
    </row>
    <row r="3916" spans="3:3">
      <c r="C3916"/>
    </row>
    <row r="3917" spans="3:3">
      <c r="C3917"/>
    </row>
    <row r="3918" spans="3:3">
      <c r="C3918"/>
    </row>
    <row r="3919" spans="3:3">
      <c r="C3919"/>
    </row>
    <row r="3920" spans="3:3">
      <c r="C3920"/>
    </row>
    <row r="3921" spans="3:3">
      <c r="C3921"/>
    </row>
    <row r="3922" spans="3:3">
      <c r="C3922"/>
    </row>
    <row r="3923" spans="3:3">
      <c r="C3923"/>
    </row>
    <row r="3924" spans="3:3">
      <c r="C3924"/>
    </row>
    <row r="3925" spans="3:3">
      <c r="C3925"/>
    </row>
    <row r="3926" spans="3:3">
      <c r="C3926"/>
    </row>
    <row r="3927" spans="3:3">
      <c r="C3927"/>
    </row>
    <row r="3928" spans="3:3">
      <c r="C3928"/>
    </row>
    <row r="3929" spans="3:3">
      <c r="C3929"/>
    </row>
    <row r="3930" spans="3:3">
      <c r="C3930"/>
    </row>
    <row r="3931" spans="3:3">
      <c r="C3931"/>
    </row>
    <row r="3932" spans="3:3">
      <c r="C3932"/>
    </row>
    <row r="3933" spans="3:3">
      <c r="C3933"/>
    </row>
    <row r="3934" spans="3:3">
      <c r="C3934"/>
    </row>
    <row r="3935" spans="3:3">
      <c r="C3935"/>
    </row>
    <row r="3936" spans="3:3">
      <c r="C3936"/>
    </row>
    <row r="3937" spans="3:3">
      <c r="C3937"/>
    </row>
    <row r="3938" spans="3:3">
      <c r="C3938"/>
    </row>
    <row r="3939" spans="3:3">
      <c r="C3939"/>
    </row>
    <row r="3940" spans="3:3">
      <c r="C3940"/>
    </row>
    <row r="3941" spans="3:3">
      <c r="C3941"/>
    </row>
    <row r="3942" spans="3:3">
      <c r="C3942"/>
    </row>
    <row r="3943" spans="3:3">
      <c r="C3943"/>
    </row>
    <row r="3944" spans="3:3">
      <c r="C3944"/>
    </row>
    <row r="3945" spans="3:3">
      <c r="C3945"/>
    </row>
    <row r="3946" spans="3:3">
      <c r="C3946"/>
    </row>
    <row r="3947" spans="3:3">
      <c r="C3947"/>
    </row>
    <row r="3948" spans="3:3">
      <c r="C3948"/>
    </row>
    <row r="3949" spans="3:3">
      <c r="C3949"/>
    </row>
    <row r="3950" spans="3:3">
      <c r="C3950"/>
    </row>
    <row r="3951" spans="3:3">
      <c r="C3951"/>
    </row>
    <row r="3952" spans="3:3">
      <c r="C3952"/>
    </row>
    <row r="3953" spans="3:3">
      <c r="C3953"/>
    </row>
    <row r="3954" spans="3:3">
      <c r="C3954"/>
    </row>
    <row r="3955" spans="3:3">
      <c r="C3955"/>
    </row>
    <row r="3956" spans="3:3">
      <c r="C3956"/>
    </row>
    <row r="3957" spans="3:3">
      <c r="C3957"/>
    </row>
    <row r="3958" spans="3:3">
      <c r="C3958"/>
    </row>
    <row r="3959" spans="3:3">
      <c r="C3959"/>
    </row>
    <row r="3960" spans="3:3">
      <c r="C3960"/>
    </row>
    <row r="3961" spans="3:3">
      <c r="C3961"/>
    </row>
    <row r="3962" spans="3:3">
      <c r="C3962"/>
    </row>
    <row r="3963" spans="3:3">
      <c r="C3963"/>
    </row>
    <row r="3964" spans="3:3">
      <c r="C3964"/>
    </row>
    <row r="3965" spans="3:3">
      <c r="C3965"/>
    </row>
    <row r="3966" spans="3:3">
      <c r="C3966"/>
    </row>
    <row r="3967" spans="3:3">
      <c r="C3967"/>
    </row>
    <row r="3968" spans="3:3">
      <c r="C3968"/>
    </row>
    <row r="3969" spans="3:3">
      <c r="C3969"/>
    </row>
    <row r="3970" spans="3:3">
      <c r="C3970"/>
    </row>
    <row r="3971" spans="3:3">
      <c r="C3971"/>
    </row>
    <row r="3972" spans="3:3">
      <c r="C3972"/>
    </row>
    <row r="3973" spans="3:3">
      <c r="C3973"/>
    </row>
    <row r="3974" spans="3:3">
      <c r="C3974"/>
    </row>
    <row r="3975" spans="3:3">
      <c r="C3975"/>
    </row>
    <row r="3976" spans="3:3">
      <c r="C3976"/>
    </row>
    <row r="3977" spans="3:3">
      <c r="C3977"/>
    </row>
    <row r="3978" spans="3:3">
      <c r="C3978"/>
    </row>
    <row r="3979" spans="3:3">
      <c r="C3979"/>
    </row>
    <row r="3980" spans="3:3">
      <c r="C3980"/>
    </row>
    <row r="3981" spans="3:3">
      <c r="C3981"/>
    </row>
    <row r="3982" spans="3:3">
      <c r="C3982"/>
    </row>
    <row r="3983" spans="3:3">
      <c r="C3983"/>
    </row>
    <row r="3984" spans="3:3">
      <c r="C3984"/>
    </row>
    <row r="3985" spans="3:3">
      <c r="C3985"/>
    </row>
    <row r="3986" spans="3:3">
      <c r="C3986"/>
    </row>
    <row r="3987" spans="3:3">
      <c r="C3987"/>
    </row>
    <row r="3988" spans="3:3">
      <c r="C3988"/>
    </row>
    <row r="3989" spans="3:3">
      <c r="C3989"/>
    </row>
    <row r="3990" spans="3:3">
      <c r="C3990"/>
    </row>
    <row r="3991" spans="3:3">
      <c r="C3991"/>
    </row>
    <row r="3992" spans="3:3">
      <c r="C3992"/>
    </row>
    <row r="3993" spans="3:3">
      <c r="C3993"/>
    </row>
    <row r="3994" spans="3:3">
      <c r="C3994"/>
    </row>
    <row r="3995" spans="3:3">
      <c r="C3995"/>
    </row>
    <row r="3996" spans="3:3">
      <c r="C3996"/>
    </row>
    <row r="3997" spans="3:3">
      <c r="C3997"/>
    </row>
    <row r="3998" spans="3:3">
      <c r="C3998"/>
    </row>
    <row r="3999" spans="3:3">
      <c r="C3999"/>
    </row>
    <row r="4000" spans="3:3">
      <c r="C4000"/>
    </row>
    <row r="4001" spans="3:3">
      <c r="C4001"/>
    </row>
    <row r="4002" spans="3:3">
      <c r="C4002"/>
    </row>
    <row r="4003" spans="3:3">
      <c r="C4003"/>
    </row>
    <row r="4004" spans="3:3">
      <c r="C4004"/>
    </row>
    <row r="4005" spans="3:3">
      <c r="C4005"/>
    </row>
    <row r="4006" spans="3:3">
      <c r="C4006"/>
    </row>
    <row r="4007" spans="3:3">
      <c r="C4007"/>
    </row>
    <row r="4008" spans="3:3">
      <c r="C4008"/>
    </row>
    <row r="4009" spans="3:3">
      <c r="C4009"/>
    </row>
    <row r="4010" spans="3:3">
      <c r="C4010"/>
    </row>
    <row r="4011" spans="3:3">
      <c r="C4011"/>
    </row>
    <row r="4012" spans="3:3">
      <c r="C4012"/>
    </row>
    <row r="4013" spans="3:3">
      <c r="C4013"/>
    </row>
    <row r="4014" spans="3:3">
      <c r="C4014"/>
    </row>
    <row r="4015" spans="3:3">
      <c r="C4015"/>
    </row>
    <row r="4016" spans="3:3">
      <c r="C4016"/>
    </row>
    <row r="4017" spans="3:3">
      <c r="C4017"/>
    </row>
    <row r="4018" spans="3:3">
      <c r="C4018"/>
    </row>
    <row r="4019" spans="3:3">
      <c r="C4019"/>
    </row>
    <row r="4020" spans="3:3">
      <c r="C4020"/>
    </row>
    <row r="4021" spans="3:3">
      <c r="C4021"/>
    </row>
    <row r="4022" spans="3:3">
      <c r="C4022"/>
    </row>
    <row r="4023" spans="3:3">
      <c r="C4023"/>
    </row>
    <row r="4024" spans="3:3">
      <c r="C4024"/>
    </row>
    <row r="4025" spans="3:3">
      <c r="C4025"/>
    </row>
    <row r="4026" spans="3:3">
      <c r="C4026"/>
    </row>
    <row r="4027" spans="3:3">
      <c r="C4027"/>
    </row>
    <row r="4028" spans="3:3">
      <c r="C4028"/>
    </row>
    <row r="4029" spans="3:3">
      <c r="C4029"/>
    </row>
    <row r="4030" spans="3:3">
      <c r="C4030"/>
    </row>
    <row r="4031" spans="3:3">
      <c r="C4031"/>
    </row>
    <row r="4032" spans="3:3">
      <c r="C4032"/>
    </row>
    <row r="4033" spans="3:3">
      <c r="C4033"/>
    </row>
    <row r="4034" spans="3:3">
      <c r="C4034"/>
    </row>
    <row r="4035" spans="3:3">
      <c r="C4035"/>
    </row>
    <row r="4036" spans="3:3">
      <c r="C4036"/>
    </row>
    <row r="4037" spans="3:3">
      <c r="C4037"/>
    </row>
    <row r="4038" spans="3:3">
      <c r="C4038"/>
    </row>
    <row r="4039" spans="3:3">
      <c r="C4039"/>
    </row>
    <row r="4040" spans="3:3">
      <c r="C4040"/>
    </row>
    <row r="4041" spans="3:3">
      <c r="C4041"/>
    </row>
    <row r="4042" spans="3:3">
      <c r="C4042"/>
    </row>
    <row r="4043" spans="3:3">
      <c r="C4043"/>
    </row>
    <row r="4044" spans="3:3">
      <c r="C4044"/>
    </row>
    <row r="4045" spans="3:3">
      <c r="C4045"/>
    </row>
    <row r="4046" spans="3:3">
      <c r="C4046"/>
    </row>
    <row r="4047" spans="3:3">
      <c r="C4047"/>
    </row>
    <row r="4048" spans="3:3">
      <c r="C4048"/>
    </row>
    <row r="4049" spans="3:3">
      <c r="C4049"/>
    </row>
    <row r="4050" spans="3:3">
      <c r="C4050"/>
    </row>
    <row r="4051" spans="3:3">
      <c r="C4051"/>
    </row>
    <row r="4052" spans="3:3">
      <c r="C4052"/>
    </row>
    <row r="4053" spans="3:3">
      <c r="C4053"/>
    </row>
    <row r="4054" spans="3:3">
      <c r="C4054"/>
    </row>
    <row r="4055" spans="3:3">
      <c r="C4055"/>
    </row>
    <row r="4056" spans="3:3">
      <c r="C4056"/>
    </row>
    <row r="4057" spans="3:3">
      <c r="C4057"/>
    </row>
    <row r="4058" spans="3:3">
      <c r="C4058"/>
    </row>
    <row r="4059" spans="3:3">
      <c r="C4059"/>
    </row>
    <row r="4060" spans="3:3">
      <c r="C4060"/>
    </row>
    <row r="4061" spans="3:3">
      <c r="C4061"/>
    </row>
    <row r="4062" spans="3:3">
      <c r="C4062"/>
    </row>
    <row r="4063" spans="3:3">
      <c r="C4063"/>
    </row>
    <row r="4064" spans="3:3">
      <c r="C4064"/>
    </row>
    <row r="4065" spans="3:3">
      <c r="C4065"/>
    </row>
    <row r="4066" spans="3:3">
      <c r="C4066"/>
    </row>
    <row r="4067" spans="3:3">
      <c r="C4067"/>
    </row>
    <row r="4068" spans="3:3">
      <c r="C4068"/>
    </row>
    <row r="4069" spans="3:3">
      <c r="C4069"/>
    </row>
    <row r="4070" spans="3:3">
      <c r="C4070"/>
    </row>
    <row r="4071" spans="3:3">
      <c r="C4071"/>
    </row>
    <row r="4072" spans="3:3">
      <c r="C4072"/>
    </row>
    <row r="4073" spans="3:3">
      <c r="C4073"/>
    </row>
    <row r="4074" spans="3:3">
      <c r="C4074"/>
    </row>
    <row r="4075" spans="3:3">
      <c r="C4075"/>
    </row>
    <row r="4076" spans="3:3">
      <c r="C4076"/>
    </row>
    <row r="4077" spans="3:3">
      <c r="C4077"/>
    </row>
    <row r="4078" spans="3:3">
      <c r="C4078"/>
    </row>
    <row r="4079" spans="3:3">
      <c r="C4079"/>
    </row>
    <row r="4080" spans="3:3">
      <c r="C4080"/>
    </row>
    <row r="4081" spans="3:3">
      <c r="C4081"/>
    </row>
    <row r="4082" spans="3:3">
      <c r="C4082"/>
    </row>
    <row r="4083" spans="3:3">
      <c r="C4083"/>
    </row>
    <row r="4084" spans="3:3">
      <c r="C4084"/>
    </row>
    <row r="4085" spans="3:3">
      <c r="C4085"/>
    </row>
    <row r="4086" spans="3:3">
      <c r="C4086"/>
    </row>
    <row r="4087" spans="3:3">
      <c r="C4087"/>
    </row>
    <row r="4088" spans="3:3">
      <c r="C4088"/>
    </row>
    <row r="4089" spans="3:3">
      <c r="C4089"/>
    </row>
    <row r="4090" spans="3:3">
      <c r="C4090"/>
    </row>
    <row r="4091" spans="3:3">
      <c r="C4091"/>
    </row>
    <row r="4092" spans="3:3">
      <c r="C4092"/>
    </row>
    <row r="4093" spans="3:3">
      <c r="C4093"/>
    </row>
    <row r="4094" spans="3:3">
      <c r="C4094"/>
    </row>
    <row r="4095" spans="3:3">
      <c r="C4095"/>
    </row>
    <row r="4096" spans="3:3">
      <c r="C4096"/>
    </row>
    <row r="4097" spans="3:3">
      <c r="C4097"/>
    </row>
    <row r="4098" spans="3:3">
      <c r="C4098"/>
    </row>
    <row r="4099" spans="3:3">
      <c r="C4099"/>
    </row>
    <row r="4100" spans="3:3">
      <c r="C4100"/>
    </row>
    <row r="4101" spans="3:3">
      <c r="C4101"/>
    </row>
    <row r="4102" spans="3:3">
      <c r="C4102"/>
    </row>
    <row r="4103" spans="3:3">
      <c r="C4103"/>
    </row>
    <row r="4104" spans="3:3">
      <c r="C4104"/>
    </row>
    <row r="4105" spans="3:3">
      <c r="C4105"/>
    </row>
    <row r="4106" spans="3:3">
      <c r="C4106"/>
    </row>
    <row r="4107" spans="3:3">
      <c r="C4107"/>
    </row>
    <row r="4108" spans="3:3">
      <c r="C4108"/>
    </row>
    <row r="4109" spans="3:3">
      <c r="C4109"/>
    </row>
    <row r="4110" spans="3:3">
      <c r="C4110"/>
    </row>
    <row r="4111" spans="3:3">
      <c r="C4111"/>
    </row>
    <row r="4112" spans="3:3">
      <c r="C4112"/>
    </row>
    <row r="4113" spans="3:3">
      <c r="C4113"/>
    </row>
    <row r="4114" spans="3:3">
      <c r="C4114"/>
    </row>
    <row r="4115" spans="3:3">
      <c r="C4115"/>
    </row>
    <row r="4116" spans="3:3">
      <c r="C4116"/>
    </row>
    <row r="4117" spans="3:3">
      <c r="C4117"/>
    </row>
    <row r="4118" spans="3:3">
      <c r="C4118"/>
    </row>
    <row r="4119" spans="3:3">
      <c r="C4119"/>
    </row>
    <row r="4120" spans="3:3">
      <c r="C4120"/>
    </row>
    <row r="4121" spans="3:3">
      <c r="C4121"/>
    </row>
    <row r="4122" spans="3:3">
      <c r="C4122"/>
    </row>
    <row r="4123" spans="3:3">
      <c r="C4123"/>
    </row>
    <row r="4124" spans="3:3">
      <c r="C4124"/>
    </row>
    <row r="4125" spans="3:3">
      <c r="C4125"/>
    </row>
    <row r="4126" spans="3:3">
      <c r="C4126"/>
    </row>
    <row r="4127" spans="3:3">
      <c r="C4127"/>
    </row>
    <row r="4128" spans="3:3">
      <c r="C4128"/>
    </row>
    <row r="4129" spans="3:3">
      <c r="C4129"/>
    </row>
    <row r="4130" spans="3:3">
      <c r="C4130"/>
    </row>
    <row r="4131" spans="3:3">
      <c r="C4131"/>
    </row>
    <row r="4132" spans="3:3">
      <c r="C4132"/>
    </row>
    <row r="4133" spans="3:3">
      <c r="C4133"/>
    </row>
    <row r="4134" spans="3:3">
      <c r="C4134"/>
    </row>
    <row r="4135" spans="3:3">
      <c r="C4135"/>
    </row>
    <row r="4136" spans="3:3">
      <c r="C4136"/>
    </row>
    <row r="4137" spans="3:3">
      <c r="C4137"/>
    </row>
    <row r="4138" spans="3:3">
      <c r="C4138"/>
    </row>
    <row r="4139" spans="3:3">
      <c r="C4139"/>
    </row>
    <row r="4140" spans="3:3">
      <c r="C4140"/>
    </row>
    <row r="4141" spans="3:3">
      <c r="C4141"/>
    </row>
    <row r="4142" spans="3:3">
      <c r="C4142"/>
    </row>
    <row r="4143" spans="3:3">
      <c r="C4143"/>
    </row>
    <row r="4144" spans="3:3">
      <c r="C4144"/>
    </row>
    <row r="4145" spans="3:3">
      <c r="C4145"/>
    </row>
    <row r="4146" spans="3:3">
      <c r="C4146"/>
    </row>
    <row r="4147" spans="3:3">
      <c r="C4147"/>
    </row>
    <row r="4148" spans="3:3">
      <c r="C4148"/>
    </row>
    <row r="4149" spans="3:3">
      <c r="C4149"/>
    </row>
    <row r="4150" spans="3:3">
      <c r="C4150"/>
    </row>
    <row r="4151" spans="3:3">
      <c r="C4151"/>
    </row>
    <row r="4152" spans="3:3">
      <c r="C4152"/>
    </row>
    <row r="4153" spans="3:3">
      <c r="C4153"/>
    </row>
    <row r="4154" spans="3:3">
      <c r="C4154"/>
    </row>
    <row r="4155" spans="3:3">
      <c r="C4155"/>
    </row>
    <row r="4156" spans="3:3">
      <c r="C4156"/>
    </row>
    <row r="4157" spans="3:3">
      <c r="C4157"/>
    </row>
    <row r="4158" spans="3:3">
      <c r="C4158"/>
    </row>
    <row r="4159" spans="3:3">
      <c r="C4159"/>
    </row>
    <row r="4160" spans="3:3">
      <c r="C4160"/>
    </row>
    <row r="4161" spans="3:3">
      <c r="C4161"/>
    </row>
    <row r="4162" spans="3:3">
      <c r="C4162"/>
    </row>
    <row r="4163" spans="3:3">
      <c r="C4163"/>
    </row>
    <row r="4164" spans="3:3">
      <c r="C4164"/>
    </row>
    <row r="4165" spans="3:3">
      <c r="C4165"/>
    </row>
    <row r="4166" spans="3:3">
      <c r="C4166"/>
    </row>
    <row r="4167" spans="3:3">
      <c r="C4167"/>
    </row>
    <row r="4168" spans="3:3">
      <c r="C4168"/>
    </row>
    <row r="4169" spans="3:3">
      <c r="C4169"/>
    </row>
    <row r="4170" spans="3:3">
      <c r="C4170"/>
    </row>
    <row r="4171" spans="3:3">
      <c r="C4171"/>
    </row>
    <row r="4172" spans="3:3">
      <c r="C4172"/>
    </row>
    <row r="4173" spans="3:3">
      <c r="C4173"/>
    </row>
    <row r="4174" spans="3:3">
      <c r="C4174"/>
    </row>
    <row r="4175" spans="3:3">
      <c r="C4175"/>
    </row>
    <row r="4176" spans="3:3">
      <c r="C4176"/>
    </row>
    <row r="4177" spans="3:3">
      <c r="C4177"/>
    </row>
    <row r="4178" spans="3:3">
      <c r="C4178"/>
    </row>
    <row r="4179" spans="3:3">
      <c r="C4179"/>
    </row>
    <row r="4180" spans="3:3">
      <c r="C4180"/>
    </row>
    <row r="4181" spans="3:3">
      <c r="C4181"/>
    </row>
    <row r="4182" spans="3:3">
      <c r="C4182"/>
    </row>
    <row r="4183" spans="3:3">
      <c r="C4183"/>
    </row>
    <row r="4184" spans="3:3">
      <c r="C4184"/>
    </row>
    <row r="4185" spans="3:3">
      <c r="C4185"/>
    </row>
    <row r="4186" spans="3:3">
      <c r="C4186"/>
    </row>
    <row r="4187" spans="3:3">
      <c r="C4187"/>
    </row>
    <row r="4188" spans="3:3">
      <c r="C4188"/>
    </row>
    <row r="4189" spans="3:3">
      <c r="C4189"/>
    </row>
    <row r="4190" spans="3:3">
      <c r="C4190"/>
    </row>
    <row r="4191" spans="3:3">
      <c r="C4191"/>
    </row>
    <row r="4192" spans="3:3">
      <c r="C4192"/>
    </row>
    <row r="4193" spans="3:3">
      <c r="C4193"/>
    </row>
    <row r="4194" spans="3:3">
      <c r="C4194"/>
    </row>
    <row r="4195" spans="3:3">
      <c r="C4195"/>
    </row>
    <row r="4196" spans="3:3">
      <c r="C4196"/>
    </row>
    <row r="4197" spans="3:3">
      <c r="C4197"/>
    </row>
    <row r="4198" spans="3:3">
      <c r="C4198"/>
    </row>
    <row r="4199" spans="3:3">
      <c r="C4199"/>
    </row>
    <row r="4200" spans="3:3">
      <c r="C4200"/>
    </row>
    <row r="4201" spans="3:3">
      <c r="C4201"/>
    </row>
    <row r="4202" spans="3:3">
      <c r="C4202"/>
    </row>
    <row r="4203" spans="3:3">
      <c r="C4203"/>
    </row>
    <row r="4204" spans="3:3">
      <c r="C4204"/>
    </row>
    <row r="4205" spans="3:3">
      <c r="C4205"/>
    </row>
    <row r="4206" spans="3:3">
      <c r="C4206"/>
    </row>
    <row r="4207" spans="3:3">
      <c r="C4207"/>
    </row>
    <row r="4208" spans="3:3">
      <c r="C4208"/>
    </row>
    <row r="4209" spans="3:3">
      <c r="C4209"/>
    </row>
    <row r="4210" spans="3:3">
      <c r="C4210"/>
    </row>
    <row r="4211" spans="3:3">
      <c r="C4211"/>
    </row>
    <row r="4212" spans="3:3">
      <c r="C4212"/>
    </row>
    <row r="4213" spans="3:3">
      <c r="C4213"/>
    </row>
    <row r="4214" spans="3:3">
      <c r="C4214"/>
    </row>
    <row r="4215" spans="3:3">
      <c r="C4215"/>
    </row>
    <row r="4216" spans="3:3">
      <c r="C4216"/>
    </row>
    <row r="4217" spans="3:3">
      <c r="C4217"/>
    </row>
    <row r="4218" spans="3:3">
      <c r="C4218"/>
    </row>
    <row r="4219" spans="3:3">
      <c r="C4219"/>
    </row>
    <row r="4220" spans="3:3">
      <c r="C4220"/>
    </row>
    <row r="4221" spans="3:3">
      <c r="C4221"/>
    </row>
    <row r="4222" spans="3:3">
      <c r="C4222"/>
    </row>
    <row r="4223" spans="3:3">
      <c r="C4223"/>
    </row>
    <row r="4224" spans="3:3">
      <c r="C4224"/>
    </row>
    <row r="4225" spans="3:3">
      <c r="C4225"/>
    </row>
    <row r="4226" spans="3:3">
      <c r="C4226"/>
    </row>
    <row r="4227" spans="3:3">
      <c r="C4227"/>
    </row>
    <row r="4228" spans="3:3">
      <c r="C4228"/>
    </row>
    <row r="4229" spans="3:3">
      <c r="C4229"/>
    </row>
    <row r="4230" spans="3:3">
      <c r="C4230"/>
    </row>
    <row r="4231" spans="3:3">
      <c r="C4231"/>
    </row>
    <row r="4232" spans="3:3">
      <c r="C4232"/>
    </row>
    <row r="4233" spans="3:3">
      <c r="C4233"/>
    </row>
    <row r="4234" spans="3:3">
      <c r="C4234"/>
    </row>
    <row r="4235" spans="3:3">
      <c r="C4235"/>
    </row>
    <row r="4236" spans="3:3">
      <c r="C4236"/>
    </row>
    <row r="4237" spans="3:3">
      <c r="C4237"/>
    </row>
    <row r="4238" spans="3:3">
      <c r="C4238"/>
    </row>
    <row r="4239" spans="3:3">
      <c r="C4239"/>
    </row>
    <row r="4240" spans="3:3">
      <c r="C4240"/>
    </row>
    <row r="4241" spans="3:3">
      <c r="C4241"/>
    </row>
    <row r="4242" spans="3:3">
      <c r="C4242"/>
    </row>
    <row r="4243" spans="3:3">
      <c r="C4243"/>
    </row>
    <row r="4244" spans="3:3">
      <c r="C4244"/>
    </row>
    <row r="4245" spans="3:3">
      <c r="C4245"/>
    </row>
    <row r="4246" spans="3:3">
      <c r="C4246"/>
    </row>
    <row r="4247" spans="3:3">
      <c r="C4247"/>
    </row>
    <row r="4248" spans="3:3">
      <c r="C4248"/>
    </row>
    <row r="4249" spans="3:3">
      <c r="C4249"/>
    </row>
    <row r="4250" spans="3:3">
      <c r="C4250"/>
    </row>
    <row r="4251" spans="3:3">
      <c r="C4251"/>
    </row>
    <row r="4252" spans="3:3">
      <c r="C4252"/>
    </row>
    <row r="4253" spans="3:3">
      <c r="C4253"/>
    </row>
    <row r="4254" spans="3:3">
      <c r="C4254"/>
    </row>
    <row r="4255" spans="3:3">
      <c r="C4255"/>
    </row>
    <row r="4256" spans="3:3">
      <c r="C4256"/>
    </row>
    <row r="4257" spans="3:3">
      <c r="C4257"/>
    </row>
    <row r="4258" spans="3:3">
      <c r="C4258"/>
    </row>
    <row r="4259" spans="3:3">
      <c r="C4259"/>
    </row>
    <row r="4260" spans="3:3">
      <c r="C4260"/>
    </row>
    <row r="4261" spans="3:3">
      <c r="C4261"/>
    </row>
    <row r="4262" spans="3:3">
      <c r="C4262"/>
    </row>
    <row r="4263" spans="3:3">
      <c r="C4263"/>
    </row>
    <row r="4264" spans="3:3">
      <c r="C4264"/>
    </row>
    <row r="4265" spans="3:3">
      <c r="C4265"/>
    </row>
    <row r="4266" spans="3:3">
      <c r="C4266"/>
    </row>
    <row r="4267" spans="3:3">
      <c r="C4267"/>
    </row>
    <row r="4268" spans="3:3">
      <c r="C4268"/>
    </row>
    <row r="4269" spans="3:3">
      <c r="C4269"/>
    </row>
    <row r="4270" spans="3:3">
      <c r="C4270"/>
    </row>
    <row r="4271" spans="3:3">
      <c r="C4271"/>
    </row>
    <row r="4272" spans="3:3">
      <c r="C4272"/>
    </row>
    <row r="4273" spans="3:3">
      <c r="C4273"/>
    </row>
    <row r="4274" spans="3:3">
      <c r="C4274"/>
    </row>
    <row r="4275" spans="3:3">
      <c r="C4275"/>
    </row>
    <row r="4276" spans="3:3">
      <c r="C4276"/>
    </row>
    <row r="4277" spans="3:3">
      <c r="C4277"/>
    </row>
    <row r="4278" spans="3:3">
      <c r="C4278"/>
    </row>
    <row r="4279" spans="3:3">
      <c r="C4279"/>
    </row>
    <row r="4280" spans="3:3">
      <c r="C4280"/>
    </row>
    <row r="4281" spans="3:3">
      <c r="C4281"/>
    </row>
    <row r="4282" spans="3:3">
      <c r="C4282"/>
    </row>
    <row r="4283" spans="3:3">
      <c r="C4283"/>
    </row>
    <row r="4284" spans="3:3">
      <c r="C4284"/>
    </row>
    <row r="4285" spans="3:3">
      <c r="C4285"/>
    </row>
    <row r="4286" spans="3:3">
      <c r="C4286"/>
    </row>
    <row r="4287" spans="3:3">
      <c r="C4287"/>
    </row>
    <row r="4288" spans="3:3">
      <c r="C4288"/>
    </row>
    <row r="4289" spans="3:3">
      <c r="C4289"/>
    </row>
    <row r="4290" spans="3:3">
      <c r="C4290"/>
    </row>
    <row r="4291" spans="3:3">
      <c r="C4291"/>
    </row>
    <row r="4292" spans="3:3">
      <c r="C4292"/>
    </row>
    <row r="4293" spans="3:3">
      <c r="C4293"/>
    </row>
    <row r="4294" spans="3:3">
      <c r="C4294"/>
    </row>
    <row r="4295" spans="3:3">
      <c r="C4295"/>
    </row>
    <row r="4296" spans="3:3">
      <c r="C4296"/>
    </row>
    <row r="4297" spans="3:3">
      <c r="C4297"/>
    </row>
    <row r="4298" spans="3:3">
      <c r="C4298"/>
    </row>
    <row r="4299" spans="3:3">
      <c r="C4299"/>
    </row>
    <row r="4300" spans="3:3">
      <c r="C4300"/>
    </row>
    <row r="4301" spans="3:3">
      <c r="C4301"/>
    </row>
    <row r="4302" spans="3:3">
      <c r="C4302"/>
    </row>
    <row r="4303" spans="3:3">
      <c r="C4303"/>
    </row>
    <row r="4304" spans="3:3">
      <c r="C4304"/>
    </row>
    <row r="4305" spans="3:3">
      <c r="C4305"/>
    </row>
    <row r="4306" spans="3:3">
      <c r="C4306"/>
    </row>
    <row r="4307" spans="3:3">
      <c r="C4307"/>
    </row>
    <row r="4308" spans="3:3">
      <c r="C4308"/>
    </row>
    <row r="4309" spans="3:3">
      <c r="C4309"/>
    </row>
    <row r="4310" spans="3:3">
      <c r="C4310"/>
    </row>
    <row r="4311" spans="3:3">
      <c r="C4311"/>
    </row>
    <row r="4312" spans="3:3">
      <c r="C4312"/>
    </row>
    <row r="4313" spans="3:3">
      <c r="C4313"/>
    </row>
    <row r="4314" spans="3:3">
      <c r="C4314"/>
    </row>
    <row r="4315" spans="3:3">
      <c r="C4315"/>
    </row>
    <row r="4316" spans="3:3">
      <c r="C4316"/>
    </row>
    <row r="4317" spans="3:3">
      <c r="C4317"/>
    </row>
    <row r="4318" spans="3:3">
      <c r="C4318"/>
    </row>
    <row r="4319" spans="3:3">
      <c r="C4319"/>
    </row>
    <row r="4320" spans="3:3">
      <c r="C4320"/>
    </row>
    <row r="4321" spans="3:3">
      <c r="C4321"/>
    </row>
    <row r="4322" spans="3:3">
      <c r="C4322"/>
    </row>
    <row r="4323" spans="3:3">
      <c r="C4323"/>
    </row>
    <row r="4324" spans="3:3">
      <c r="C4324"/>
    </row>
    <row r="4325" spans="3:3">
      <c r="C4325"/>
    </row>
    <row r="4326" spans="3:3">
      <c r="C4326"/>
    </row>
    <row r="4327" spans="3:3">
      <c r="C4327"/>
    </row>
    <row r="4328" spans="3:3">
      <c r="C4328"/>
    </row>
    <row r="4329" spans="3:3">
      <c r="C4329"/>
    </row>
    <row r="4330" spans="3:3">
      <c r="C4330"/>
    </row>
    <row r="4331" spans="3:3">
      <c r="C4331"/>
    </row>
    <row r="4332" spans="3:3">
      <c r="C4332"/>
    </row>
    <row r="4333" spans="3:3">
      <c r="C4333"/>
    </row>
    <row r="4334" spans="3:3">
      <c r="C4334"/>
    </row>
    <row r="4335" spans="3:3">
      <c r="C4335"/>
    </row>
    <row r="4336" spans="3:3">
      <c r="C4336"/>
    </row>
    <row r="4337" spans="3:3">
      <c r="C4337"/>
    </row>
    <row r="4338" spans="3:3">
      <c r="C4338"/>
    </row>
    <row r="4339" spans="3:3">
      <c r="C4339"/>
    </row>
    <row r="4340" spans="3:3">
      <c r="C4340"/>
    </row>
    <row r="4341" spans="3:3">
      <c r="C4341"/>
    </row>
    <row r="4342" spans="3:3">
      <c r="C4342"/>
    </row>
    <row r="4343" spans="3:3">
      <c r="C4343"/>
    </row>
    <row r="4344" spans="3:3">
      <c r="C4344"/>
    </row>
    <row r="4345" spans="3:3">
      <c r="C4345"/>
    </row>
    <row r="4346" spans="3:3">
      <c r="C4346"/>
    </row>
    <row r="4347" spans="3:3">
      <c r="C4347"/>
    </row>
    <row r="4348" spans="3:3">
      <c r="C4348"/>
    </row>
    <row r="4349" spans="3:3">
      <c r="C4349"/>
    </row>
    <row r="4350" spans="3:3">
      <c r="C4350"/>
    </row>
    <row r="4351" spans="3:3">
      <c r="C4351"/>
    </row>
    <row r="4352" spans="3:3">
      <c r="C4352"/>
    </row>
    <row r="4353" spans="3:3">
      <c r="C4353"/>
    </row>
    <row r="4354" spans="3:3">
      <c r="C4354"/>
    </row>
    <row r="4355" spans="3:3">
      <c r="C4355"/>
    </row>
    <row r="4356" spans="3:3">
      <c r="C4356"/>
    </row>
    <row r="4357" spans="3:3">
      <c r="C4357"/>
    </row>
    <row r="4358" spans="3:3">
      <c r="C4358"/>
    </row>
    <row r="4359" spans="3:3">
      <c r="C4359"/>
    </row>
    <row r="4360" spans="3:3">
      <c r="C4360"/>
    </row>
    <row r="4361" spans="3:3">
      <c r="C4361"/>
    </row>
    <row r="4362" spans="3:3">
      <c r="C4362"/>
    </row>
    <row r="4363" spans="3:3">
      <c r="C4363"/>
    </row>
    <row r="4364" spans="3:3">
      <c r="C4364"/>
    </row>
    <row r="4365" spans="3:3">
      <c r="C4365"/>
    </row>
    <row r="4366" spans="3:3">
      <c r="C4366"/>
    </row>
    <row r="4367" spans="3:3">
      <c r="C4367"/>
    </row>
    <row r="4368" spans="3:3">
      <c r="C4368"/>
    </row>
    <row r="4369" spans="3:3">
      <c r="C4369"/>
    </row>
    <row r="4370" spans="3:3">
      <c r="C4370"/>
    </row>
    <row r="4371" spans="3:3">
      <c r="C4371"/>
    </row>
    <row r="4372" spans="3:3">
      <c r="C4372"/>
    </row>
    <row r="4373" spans="3:3">
      <c r="C4373"/>
    </row>
    <row r="4374" spans="3:3">
      <c r="C4374"/>
    </row>
    <row r="4375" spans="3:3">
      <c r="C4375"/>
    </row>
    <row r="4376" spans="3:3">
      <c r="C4376"/>
    </row>
    <row r="4377" spans="3:3">
      <c r="C4377"/>
    </row>
    <row r="4378" spans="3:3">
      <c r="C4378"/>
    </row>
    <row r="4379" spans="3:3">
      <c r="C4379"/>
    </row>
    <row r="4380" spans="3:3">
      <c r="C4380"/>
    </row>
    <row r="4381" spans="3:3">
      <c r="C4381"/>
    </row>
    <row r="4382" spans="3:3">
      <c r="C4382"/>
    </row>
    <row r="4383" spans="3:3">
      <c r="C4383"/>
    </row>
    <row r="4384" spans="3:3">
      <c r="C4384"/>
    </row>
    <row r="4385" spans="3:3">
      <c r="C4385"/>
    </row>
    <row r="4386" spans="3:3">
      <c r="C4386"/>
    </row>
    <row r="4387" spans="3:3">
      <c r="C4387"/>
    </row>
    <row r="4388" spans="3:3">
      <c r="C4388"/>
    </row>
    <row r="4389" spans="3:3">
      <c r="C4389"/>
    </row>
    <row r="4390" spans="3:3">
      <c r="C4390"/>
    </row>
    <row r="4391" spans="3:3">
      <c r="C4391"/>
    </row>
    <row r="4392" spans="3:3">
      <c r="C4392"/>
    </row>
    <row r="4393" spans="3:3">
      <c r="C4393"/>
    </row>
    <row r="4394" spans="3:3">
      <c r="C4394"/>
    </row>
    <row r="4395" spans="3:3">
      <c r="C4395"/>
    </row>
    <row r="4396" spans="3:3">
      <c r="C4396"/>
    </row>
    <row r="4397" spans="3:3">
      <c r="C4397"/>
    </row>
    <row r="4398" spans="3:3">
      <c r="C4398"/>
    </row>
    <row r="4399" spans="3:3">
      <c r="C4399"/>
    </row>
    <row r="4400" spans="3:3">
      <c r="C4400"/>
    </row>
    <row r="4401" spans="3:3">
      <c r="C4401"/>
    </row>
    <row r="4402" spans="3:3">
      <c r="C4402"/>
    </row>
    <row r="4403" spans="3:3">
      <c r="C4403"/>
    </row>
    <row r="4404" spans="3:3">
      <c r="C4404"/>
    </row>
    <row r="4405" spans="3:3">
      <c r="C4405"/>
    </row>
    <row r="4406" spans="3:3">
      <c r="C4406"/>
    </row>
    <row r="4407" spans="3:3">
      <c r="C4407"/>
    </row>
    <row r="4408" spans="3:3">
      <c r="C4408"/>
    </row>
    <row r="4409" spans="3:3">
      <c r="C4409"/>
    </row>
    <row r="4410" spans="3:3">
      <c r="C4410"/>
    </row>
    <row r="4411" spans="3:3">
      <c r="C4411"/>
    </row>
    <row r="4412" spans="3:3">
      <c r="C4412"/>
    </row>
    <row r="4413" spans="3:3">
      <c r="C4413"/>
    </row>
    <row r="4414" spans="3:3">
      <c r="C4414"/>
    </row>
    <row r="4415" spans="3:3">
      <c r="C4415"/>
    </row>
    <row r="4416" spans="3:3">
      <c r="C4416"/>
    </row>
    <row r="4417" spans="3:3">
      <c r="C4417"/>
    </row>
    <row r="4418" spans="3:3">
      <c r="C4418"/>
    </row>
    <row r="4419" spans="3:3">
      <c r="C4419"/>
    </row>
    <row r="4420" spans="3:3">
      <c r="C4420"/>
    </row>
    <row r="4421" spans="3:3">
      <c r="C4421"/>
    </row>
    <row r="4422" spans="3:3">
      <c r="C4422"/>
    </row>
    <row r="4423" spans="3:3">
      <c r="C4423"/>
    </row>
    <row r="4424" spans="3:3">
      <c r="C4424"/>
    </row>
    <row r="4425" spans="3:3">
      <c r="C4425"/>
    </row>
    <row r="4426" spans="3:3">
      <c r="C4426"/>
    </row>
    <row r="4427" spans="3:3">
      <c r="C4427"/>
    </row>
    <row r="4428" spans="3:3">
      <c r="C4428"/>
    </row>
    <row r="4429" spans="3:3">
      <c r="C4429"/>
    </row>
    <row r="4430" spans="3:3">
      <c r="C4430"/>
    </row>
    <row r="4431" spans="3:3">
      <c r="C4431"/>
    </row>
    <row r="4432" spans="3:3">
      <c r="C4432"/>
    </row>
    <row r="4433" spans="3:3">
      <c r="C4433"/>
    </row>
    <row r="4434" spans="3:3">
      <c r="C4434"/>
    </row>
    <row r="4435" spans="3:3">
      <c r="C4435"/>
    </row>
    <row r="4436" spans="3:3">
      <c r="C4436"/>
    </row>
    <row r="4437" spans="3:3">
      <c r="C4437"/>
    </row>
    <row r="4438" spans="3:3">
      <c r="C4438"/>
    </row>
    <row r="4439" spans="3:3">
      <c r="C4439"/>
    </row>
    <row r="4440" spans="3:3">
      <c r="C4440"/>
    </row>
    <row r="4441" spans="3:3">
      <c r="C4441"/>
    </row>
    <row r="4442" spans="3:3">
      <c r="C4442"/>
    </row>
    <row r="4443" spans="3:3">
      <c r="C4443"/>
    </row>
    <row r="4444" spans="3:3">
      <c r="C4444"/>
    </row>
    <row r="4445" spans="3:3">
      <c r="C4445"/>
    </row>
    <row r="4446" spans="3:3">
      <c r="C4446"/>
    </row>
    <row r="4447" spans="3:3">
      <c r="C4447"/>
    </row>
    <row r="4448" spans="3:3">
      <c r="C4448"/>
    </row>
    <row r="4449" spans="3:3">
      <c r="C4449"/>
    </row>
    <row r="4450" spans="3:3">
      <c r="C4450"/>
    </row>
    <row r="4451" spans="3:3">
      <c r="C4451"/>
    </row>
    <row r="4452" spans="3:3">
      <c r="C4452"/>
    </row>
    <row r="4453" spans="3:3">
      <c r="C4453"/>
    </row>
    <row r="4454" spans="3:3">
      <c r="C4454"/>
    </row>
    <row r="4455" spans="3:3">
      <c r="C4455"/>
    </row>
    <row r="4456" spans="3:3">
      <c r="C4456"/>
    </row>
    <row r="4457" spans="3:3">
      <c r="C4457"/>
    </row>
    <row r="4458" spans="3:3">
      <c r="C4458"/>
    </row>
    <row r="4459" spans="3:3">
      <c r="C4459"/>
    </row>
    <row r="4460" spans="3:3">
      <c r="C4460"/>
    </row>
    <row r="4461" spans="3:3">
      <c r="C4461"/>
    </row>
    <row r="4462" spans="3:3">
      <c r="C4462"/>
    </row>
    <row r="4463" spans="3:3">
      <c r="C4463"/>
    </row>
    <row r="4464" spans="3:3">
      <c r="C4464"/>
    </row>
    <row r="4465" spans="3:3">
      <c r="C4465"/>
    </row>
    <row r="4466" spans="3:3">
      <c r="C4466"/>
    </row>
    <row r="4467" spans="3:3">
      <c r="C4467"/>
    </row>
    <row r="4468" spans="3:3">
      <c r="C4468"/>
    </row>
    <row r="4469" spans="3:3">
      <c r="C4469"/>
    </row>
    <row r="4470" spans="3:3">
      <c r="C4470"/>
    </row>
    <row r="4471" spans="3:3">
      <c r="C4471"/>
    </row>
    <row r="4472" spans="3:3">
      <c r="C4472"/>
    </row>
    <row r="4473" spans="3:3">
      <c r="C4473"/>
    </row>
    <row r="4474" spans="3:3">
      <c r="C4474"/>
    </row>
    <row r="4475" spans="3:3">
      <c r="C4475"/>
    </row>
    <row r="4476" spans="3:3">
      <c r="C4476"/>
    </row>
    <row r="4477" spans="3:3">
      <c r="C4477"/>
    </row>
    <row r="4478" spans="3:3">
      <c r="C4478"/>
    </row>
    <row r="4479" spans="3:3">
      <c r="C4479"/>
    </row>
    <row r="4480" spans="3:3">
      <c r="C4480"/>
    </row>
    <row r="4481" spans="3:3">
      <c r="C4481"/>
    </row>
    <row r="4482" spans="3:3">
      <c r="C4482"/>
    </row>
    <row r="4483" spans="3:3">
      <c r="C4483"/>
    </row>
    <row r="4484" spans="3:3">
      <c r="C4484"/>
    </row>
    <row r="4485" spans="3:3">
      <c r="C4485"/>
    </row>
    <row r="4486" spans="3:3">
      <c r="C4486"/>
    </row>
    <row r="4487" spans="3:3">
      <c r="C4487"/>
    </row>
    <row r="4488" spans="3:3">
      <c r="C4488"/>
    </row>
    <row r="4489" spans="3:3">
      <c r="C4489"/>
    </row>
    <row r="4490" spans="3:3">
      <c r="C4490"/>
    </row>
    <row r="4491" spans="3:3">
      <c r="C4491"/>
    </row>
    <row r="4492" spans="3:3">
      <c r="C4492"/>
    </row>
    <row r="4493" spans="3:3">
      <c r="C4493"/>
    </row>
    <row r="4494" spans="3:3">
      <c r="C4494"/>
    </row>
    <row r="4495" spans="3:3">
      <c r="C4495"/>
    </row>
    <row r="4496" spans="3:3">
      <c r="C4496"/>
    </row>
    <row r="4497" spans="3:3">
      <c r="C4497"/>
    </row>
    <row r="4498" spans="3:3">
      <c r="C4498"/>
    </row>
    <row r="4499" spans="3:3">
      <c r="C4499"/>
    </row>
    <row r="4500" spans="3:3">
      <c r="C4500"/>
    </row>
    <row r="4501" spans="3:3">
      <c r="C4501"/>
    </row>
    <row r="4502" spans="3:3">
      <c r="C4502"/>
    </row>
    <row r="4503" spans="3:3">
      <c r="C4503"/>
    </row>
    <row r="4504" spans="3:3">
      <c r="C4504"/>
    </row>
    <row r="4505" spans="3:3">
      <c r="C4505"/>
    </row>
    <row r="4506" spans="3:3">
      <c r="C4506"/>
    </row>
    <row r="4507" spans="3:3">
      <c r="C4507"/>
    </row>
    <row r="4508" spans="3:3">
      <c r="C4508"/>
    </row>
    <row r="4509" spans="3:3">
      <c r="C4509"/>
    </row>
    <row r="4510" spans="3:3">
      <c r="C4510"/>
    </row>
    <row r="4511" spans="3:3">
      <c r="C4511"/>
    </row>
    <row r="4512" spans="3:3">
      <c r="C4512"/>
    </row>
    <row r="4513" spans="3:3">
      <c r="C4513"/>
    </row>
    <row r="4514" spans="3:3">
      <c r="C4514"/>
    </row>
    <row r="4515" spans="3:3">
      <c r="C4515"/>
    </row>
    <row r="4516" spans="3:3">
      <c r="C4516"/>
    </row>
    <row r="4517" spans="3:3">
      <c r="C4517"/>
    </row>
    <row r="4518" spans="3:3">
      <c r="C4518"/>
    </row>
    <row r="4519" spans="3:3">
      <c r="C4519"/>
    </row>
    <row r="4520" spans="3:3">
      <c r="C4520"/>
    </row>
    <row r="4521" spans="3:3">
      <c r="C4521"/>
    </row>
    <row r="4522" spans="3:3">
      <c r="C4522"/>
    </row>
    <row r="4523" spans="3:3">
      <c r="C4523"/>
    </row>
    <row r="4524" spans="3:3">
      <c r="C4524"/>
    </row>
    <row r="4525" spans="3:3">
      <c r="C4525"/>
    </row>
    <row r="4526" spans="3:3">
      <c r="C4526"/>
    </row>
    <row r="4527" spans="3:3">
      <c r="C4527"/>
    </row>
    <row r="4528" spans="3:3">
      <c r="C4528"/>
    </row>
    <row r="4529" spans="3:3">
      <c r="C4529"/>
    </row>
    <row r="4530" spans="3:3">
      <c r="C4530"/>
    </row>
    <row r="4531" spans="3:3">
      <c r="C4531"/>
    </row>
    <row r="4532" spans="3:3">
      <c r="C4532"/>
    </row>
    <row r="4533" spans="3:3">
      <c r="C4533"/>
    </row>
    <row r="4534" spans="3:3">
      <c r="C4534"/>
    </row>
    <row r="4535" spans="3:3">
      <c r="C4535"/>
    </row>
    <row r="4536" spans="3:3">
      <c r="C4536"/>
    </row>
    <row r="4537" spans="3:3">
      <c r="C4537"/>
    </row>
    <row r="4538" spans="3:3">
      <c r="C4538"/>
    </row>
    <row r="4539" spans="3:3">
      <c r="C4539"/>
    </row>
    <row r="4540" spans="3:3">
      <c r="C4540"/>
    </row>
    <row r="4541" spans="3:3">
      <c r="C4541"/>
    </row>
    <row r="4542" spans="3:3">
      <c r="C4542"/>
    </row>
    <row r="4543" spans="3:3">
      <c r="C4543"/>
    </row>
    <row r="4544" spans="3:3">
      <c r="C4544"/>
    </row>
    <row r="4545" spans="3:3">
      <c r="C4545"/>
    </row>
    <row r="4546" spans="3:3">
      <c r="C4546"/>
    </row>
    <row r="4547" spans="3:3">
      <c r="C4547"/>
    </row>
    <row r="4548" spans="3:3">
      <c r="C4548"/>
    </row>
    <row r="4549" spans="3:3">
      <c r="C4549"/>
    </row>
    <row r="4550" spans="3:3">
      <c r="C4550"/>
    </row>
    <row r="4551" spans="3:3">
      <c r="C4551"/>
    </row>
    <row r="4552" spans="3:3">
      <c r="C4552"/>
    </row>
    <row r="4553" spans="3:3">
      <c r="C4553"/>
    </row>
    <row r="4554" spans="3:3">
      <c r="C4554"/>
    </row>
    <row r="4555" spans="3:3">
      <c r="C4555"/>
    </row>
    <row r="4556" spans="3:3">
      <c r="C4556"/>
    </row>
    <row r="4557" spans="3:3">
      <c r="C4557"/>
    </row>
    <row r="4558" spans="3:3">
      <c r="C4558"/>
    </row>
    <row r="4559" spans="3:3">
      <c r="C4559"/>
    </row>
    <row r="4560" spans="3:3">
      <c r="C4560"/>
    </row>
    <row r="4561" spans="3:3">
      <c r="C4561"/>
    </row>
    <row r="4562" spans="3:3">
      <c r="C4562"/>
    </row>
    <row r="4563" spans="3:3">
      <c r="C4563"/>
    </row>
    <row r="4564" spans="3:3">
      <c r="C4564"/>
    </row>
    <row r="4565" spans="3:3">
      <c r="C4565"/>
    </row>
    <row r="4566" spans="3:3">
      <c r="C4566"/>
    </row>
    <row r="4567" spans="3:3">
      <c r="C4567"/>
    </row>
    <row r="4568" spans="3:3">
      <c r="C4568"/>
    </row>
    <row r="4569" spans="3:3">
      <c r="C4569"/>
    </row>
    <row r="4570" spans="3:3">
      <c r="C4570"/>
    </row>
    <row r="4571" spans="3:3">
      <c r="C4571"/>
    </row>
    <row r="4572" spans="3:3">
      <c r="C4572"/>
    </row>
    <row r="4573" spans="3:3">
      <c r="C4573"/>
    </row>
    <row r="4574" spans="3:3">
      <c r="C4574"/>
    </row>
    <row r="4575" spans="3:3">
      <c r="C4575"/>
    </row>
    <row r="4576" spans="3:3">
      <c r="C4576"/>
    </row>
    <row r="4577" spans="3:3">
      <c r="C4577"/>
    </row>
    <row r="4578" spans="3:3">
      <c r="C4578"/>
    </row>
    <row r="4579" spans="3:3">
      <c r="C4579"/>
    </row>
    <row r="4580" spans="3:3">
      <c r="C4580"/>
    </row>
    <row r="4581" spans="3:3">
      <c r="C4581"/>
    </row>
    <row r="4582" spans="3:3">
      <c r="C4582"/>
    </row>
    <row r="4583" spans="3:3">
      <c r="C4583"/>
    </row>
    <row r="4584" spans="3:3">
      <c r="C4584"/>
    </row>
    <row r="4585" spans="3:3">
      <c r="C4585"/>
    </row>
    <row r="4586" spans="3:3">
      <c r="C4586"/>
    </row>
    <row r="4587" spans="3:3">
      <c r="C4587"/>
    </row>
    <row r="4588" spans="3:3">
      <c r="C4588"/>
    </row>
    <row r="4589" spans="3:3">
      <c r="C4589"/>
    </row>
    <row r="4590" spans="3:3">
      <c r="C4590"/>
    </row>
    <row r="4591" spans="3:3">
      <c r="C4591"/>
    </row>
    <row r="4592" spans="3:3">
      <c r="C4592"/>
    </row>
    <row r="4593" spans="3:3">
      <c r="C4593"/>
    </row>
    <row r="4594" spans="3:3">
      <c r="C4594"/>
    </row>
    <row r="4595" spans="3:3">
      <c r="C4595"/>
    </row>
    <row r="4596" spans="3:3">
      <c r="C4596"/>
    </row>
    <row r="4597" spans="3:3">
      <c r="C4597"/>
    </row>
    <row r="4598" spans="3:3">
      <c r="C4598"/>
    </row>
    <row r="4599" spans="3:3">
      <c r="C4599"/>
    </row>
    <row r="4600" spans="3:3">
      <c r="C4600"/>
    </row>
    <row r="4601" spans="3:3">
      <c r="C4601"/>
    </row>
    <row r="4602" spans="3:3">
      <c r="C4602"/>
    </row>
    <row r="4603" spans="3:3">
      <c r="C4603"/>
    </row>
    <row r="4604" spans="3:3">
      <c r="C4604"/>
    </row>
    <row r="4605" spans="3:3">
      <c r="C4605"/>
    </row>
    <row r="4606" spans="3:3">
      <c r="C4606"/>
    </row>
    <row r="4607" spans="3:3">
      <c r="C4607"/>
    </row>
    <row r="4608" spans="3:3">
      <c r="C4608"/>
    </row>
    <row r="4609" spans="3:3">
      <c r="C4609"/>
    </row>
    <row r="4610" spans="3:3">
      <c r="C4610"/>
    </row>
    <row r="4611" spans="3:3">
      <c r="C4611"/>
    </row>
    <row r="4612" spans="3:3">
      <c r="C4612"/>
    </row>
    <row r="4613" spans="3:3">
      <c r="C4613"/>
    </row>
    <row r="4614" spans="3:3">
      <c r="C4614"/>
    </row>
    <row r="4615" spans="3:3">
      <c r="C4615"/>
    </row>
    <row r="4616" spans="3:3">
      <c r="C4616"/>
    </row>
    <row r="4617" spans="3:3">
      <c r="C4617"/>
    </row>
    <row r="4618" spans="3:3">
      <c r="C4618"/>
    </row>
    <row r="4619" spans="3:3">
      <c r="C4619"/>
    </row>
    <row r="4620" spans="3:3">
      <c r="C4620"/>
    </row>
    <row r="4621" spans="3:3">
      <c r="C4621"/>
    </row>
    <row r="4622" spans="3:3">
      <c r="C4622"/>
    </row>
    <row r="4623" spans="3:3">
      <c r="C4623"/>
    </row>
    <row r="4624" spans="3:3">
      <c r="C4624"/>
    </row>
    <row r="4625" spans="3:3">
      <c r="C4625"/>
    </row>
    <row r="4626" spans="3:3">
      <c r="C4626"/>
    </row>
    <row r="4627" spans="3:3">
      <c r="C4627"/>
    </row>
    <row r="4628" spans="3:3">
      <c r="C4628"/>
    </row>
    <row r="4629" spans="3:3">
      <c r="C4629"/>
    </row>
    <row r="4630" spans="3:3">
      <c r="C4630"/>
    </row>
    <row r="4631" spans="3:3">
      <c r="C4631"/>
    </row>
    <row r="4632" spans="3:3">
      <c r="C4632"/>
    </row>
    <row r="4633" spans="3:3">
      <c r="C4633"/>
    </row>
    <row r="4634" spans="3:3">
      <c r="C4634"/>
    </row>
    <row r="4635" spans="3:3">
      <c r="C4635"/>
    </row>
    <row r="4636" spans="3:3">
      <c r="C4636"/>
    </row>
    <row r="4637" spans="3:3">
      <c r="C4637"/>
    </row>
    <row r="4638" spans="3:3">
      <c r="C4638"/>
    </row>
    <row r="4639" spans="3:3">
      <c r="C4639"/>
    </row>
    <row r="4640" spans="3:3">
      <c r="C4640"/>
    </row>
    <row r="4641" spans="3:3">
      <c r="C4641"/>
    </row>
    <row r="4642" spans="3:3">
      <c r="C4642"/>
    </row>
    <row r="4643" spans="3:3">
      <c r="C4643"/>
    </row>
    <row r="4644" spans="3:3">
      <c r="C4644"/>
    </row>
    <row r="4645" spans="3:3">
      <c r="C4645"/>
    </row>
    <row r="4646" spans="3:3">
      <c r="C4646"/>
    </row>
    <row r="4647" spans="3:3">
      <c r="C4647"/>
    </row>
    <row r="4648" spans="3:3">
      <c r="C4648"/>
    </row>
    <row r="4649" spans="3:3">
      <c r="C4649"/>
    </row>
    <row r="4650" spans="3:3">
      <c r="C4650"/>
    </row>
    <row r="4651" spans="3:3">
      <c r="C4651"/>
    </row>
    <row r="4652" spans="3:3">
      <c r="C4652"/>
    </row>
    <row r="4653" spans="3:3">
      <c r="C4653"/>
    </row>
    <row r="4654" spans="3:3">
      <c r="C4654"/>
    </row>
    <row r="4655" spans="3:3">
      <c r="C4655"/>
    </row>
    <row r="4656" spans="3:3">
      <c r="C4656"/>
    </row>
    <row r="4657" spans="3:3">
      <c r="C4657"/>
    </row>
    <row r="4658" spans="3:3">
      <c r="C4658"/>
    </row>
    <row r="4659" spans="3:3">
      <c r="C4659"/>
    </row>
    <row r="4660" spans="3:3">
      <c r="C4660"/>
    </row>
    <row r="4661" spans="3:3">
      <c r="C4661"/>
    </row>
    <row r="4662" spans="3:3">
      <c r="C4662"/>
    </row>
    <row r="4663" spans="3:3">
      <c r="C4663"/>
    </row>
    <row r="4664" spans="3:3">
      <c r="C4664"/>
    </row>
    <row r="4665" spans="3:3">
      <c r="C4665"/>
    </row>
    <row r="4666" spans="3:3">
      <c r="C4666"/>
    </row>
    <row r="4667" spans="3:3">
      <c r="C4667"/>
    </row>
    <row r="4668" spans="3:3">
      <c r="C4668"/>
    </row>
    <row r="4669" spans="3:3">
      <c r="C4669"/>
    </row>
    <row r="4670" spans="3:3">
      <c r="C4670"/>
    </row>
    <row r="4671" spans="3:3">
      <c r="C4671"/>
    </row>
    <row r="4672" spans="3:3">
      <c r="C4672"/>
    </row>
    <row r="4673" spans="3:3">
      <c r="C4673"/>
    </row>
    <row r="4674" spans="3:3">
      <c r="C4674"/>
    </row>
    <row r="4675" spans="3:3">
      <c r="C4675"/>
    </row>
    <row r="4676" spans="3:3">
      <c r="C4676"/>
    </row>
    <row r="4677" spans="3:3">
      <c r="C4677"/>
    </row>
    <row r="4678" spans="3:3">
      <c r="C4678"/>
    </row>
    <row r="4679" spans="3:3">
      <c r="C4679"/>
    </row>
    <row r="4680" spans="3:3">
      <c r="C4680"/>
    </row>
    <row r="4681" spans="3:3">
      <c r="C4681"/>
    </row>
    <row r="4682" spans="3:3">
      <c r="C4682"/>
    </row>
    <row r="4683" spans="3:3">
      <c r="C4683"/>
    </row>
    <row r="4684" spans="3:3">
      <c r="C4684"/>
    </row>
    <row r="4685" spans="3:3">
      <c r="C4685"/>
    </row>
    <row r="4686" spans="3:3">
      <c r="C4686"/>
    </row>
    <row r="4687" spans="3:3">
      <c r="C4687"/>
    </row>
    <row r="4688" spans="3:3">
      <c r="C4688"/>
    </row>
    <row r="4689" spans="3:3">
      <c r="C4689"/>
    </row>
    <row r="4690" spans="3:3">
      <c r="C4690"/>
    </row>
    <row r="4691" spans="3:3">
      <c r="C4691"/>
    </row>
    <row r="4692" spans="3:3">
      <c r="C4692"/>
    </row>
    <row r="4693" spans="3:3">
      <c r="C4693"/>
    </row>
    <row r="4694" spans="3:3">
      <c r="C4694"/>
    </row>
    <row r="4695" spans="3:3">
      <c r="C4695"/>
    </row>
    <row r="4696" spans="3:3">
      <c r="C4696"/>
    </row>
    <row r="4697" spans="3:3">
      <c r="C4697"/>
    </row>
    <row r="4698" spans="3:3">
      <c r="C4698"/>
    </row>
    <row r="4699" spans="3:3">
      <c r="C4699"/>
    </row>
    <row r="4700" spans="3:3">
      <c r="C4700"/>
    </row>
    <row r="4701" spans="3:3">
      <c r="C4701"/>
    </row>
    <row r="4702" spans="3:3">
      <c r="C4702"/>
    </row>
    <row r="4703" spans="3:3">
      <c r="C4703"/>
    </row>
    <row r="4704" spans="3:3">
      <c r="C4704"/>
    </row>
    <row r="4705" spans="3:3">
      <c r="C4705"/>
    </row>
    <row r="4706" spans="3:3">
      <c r="C4706"/>
    </row>
    <row r="4707" spans="3:3">
      <c r="C4707"/>
    </row>
    <row r="4708" spans="3:3">
      <c r="C4708"/>
    </row>
    <row r="4709" spans="3:3">
      <c r="C4709"/>
    </row>
    <row r="4710" spans="3:3">
      <c r="C4710"/>
    </row>
    <row r="4711" spans="3:3">
      <c r="C4711"/>
    </row>
    <row r="4712" spans="3:3">
      <c r="C4712"/>
    </row>
    <row r="4713" spans="3:3">
      <c r="C4713"/>
    </row>
    <row r="4714" spans="3:3">
      <c r="C4714"/>
    </row>
    <row r="4715" spans="3:3">
      <c r="C4715"/>
    </row>
    <row r="4716" spans="3:3">
      <c r="C4716"/>
    </row>
    <row r="4717" spans="3:3">
      <c r="C4717"/>
    </row>
    <row r="4718" spans="3:3">
      <c r="C4718"/>
    </row>
    <row r="4719" spans="3:3">
      <c r="C4719"/>
    </row>
    <row r="4720" spans="3:3">
      <c r="C4720"/>
    </row>
    <row r="4721" spans="3:3">
      <c r="C4721"/>
    </row>
    <row r="4722" spans="3:3">
      <c r="C4722"/>
    </row>
    <row r="4723" spans="3:3">
      <c r="C4723"/>
    </row>
    <row r="4724" spans="3:3">
      <c r="C4724"/>
    </row>
    <row r="4725" spans="3:3">
      <c r="C4725"/>
    </row>
    <row r="4726" spans="3:3">
      <c r="C4726"/>
    </row>
    <row r="4727" spans="3:3">
      <c r="C4727"/>
    </row>
    <row r="4728" spans="3:3">
      <c r="C4728"/>
    </row>
    <row r="4729" spans="3:3">
      <c r="C4729"/>
    </row>
    <row r="4730" spans="3:3">
      <c r="C4730"/>
    </row>
    <row r="4731" spans="3:3">
      <c r="C4731"/>
    </row>
    <row r="4732" spans="3:3">
      <c r="C4732"/>
    </row>
    <row r="4733" spans="3:3">
      <c r="C4733"/>
    </row>
    <row r="4734" spans="3:3">
      <c r="C4734"/>
    </row>
    <row r="4735" spans="3:3">
      <c r="C4735"/>
    </row>
    <row r="4736" spans="3:3">
      <c r="C4736"/>
    </row>
    <row r="4737" spans="3:3">
      <c r="C4737"/>
    </row>
    <row r="4738" spans="3:3">
      <c r="C4738"/>
    </row>
    <row r="4739" spans="3:3">
      <c r="C4739"/>
    </row>
    <row r="4740" spans="3:3">
      <c r="C4740"/>
    </row>
    <row r="4741" spans="3:3">
      <c r="C4741"/>
    </row>
    <row r="4742" spans="3:3">
      <c r="C4742"/>
    </row>
    <row r="4743" spans="3:3">
      <c r="C4743"/>
    </row>
    <row r="4744" spans="3:3">
      <c r="C4744"/>
    </row>
    <row r="4745" spans="3:3">
      <c r="C4745"/>
    </row>
    <row r="4746" spans="3:3">
      <c r="C4746"/>
    </row>
    <row r="4747" spans="3:3">
      <c r="C4747"/>
    </row>
    <row r="4748" spans="3:3">
      <c r="C4748"/>
    </row>
    <row r="4749" spans="3:3">
      <c r="C4749"/>
    </row>
    <row r="4750" spans="3:3">
      <c r="C4750"/>
    </row>
    <row r="4751" spans="3:3">
      <c r="C4751"/>
    </row>
    <row r="4752" spans="3:3">
      <c r="C4752"/>
    </row>
    <row r="4753" spans="3:3">
      <c r="C4753"/>
    </row>
    <row r="4754" spans="3:3">
      <c r="C4754"/>
    </row>
    <row r="4755" spans="3:3">
      <c r="C4755"/>
    </row>
    <row r="4756" spans="3:3">
      <c r="C4756"/>
    </row>
    <row r="4757" spans="3:3">
      <c r="C4757"/>
    </row>
    <row r="4758" spans="3:3">
      <c r="C4758"/>
    </row>
    <row r="4759" spans="3:3">
      <c r="C4759"/>
    </row>
    <row r="4760" spans="3:3">
      <c r="C4760"/>
    </row>
    <row r="4761" spans="3:3">
      <c r="C4761"/>
    </row>
    <row r="4762" spans="3:3">
      <c r="C4762"/>
    </row>
    <row r="4763" spans="3:3">
      <c r="C4763"/>
    </row>
    <row r="4764" spans="3:3">
      <c r="C4764"/>
    </row>
    <row r="4765" spans="3:3">
      <c r="C4765"/>
    </row>
    <row r="4766" spans="3:3">
      <c r="C4766"/>
    </row>
    <row r="4767" spans="3:3">
      <c r="C4767"/>
    </row>
    <row r="4768" spans="3:3">
      <c r="C4768"/>
    </row>
    <row r="4769" spans="3:3">
      <c r="C4769"/>
    </row>
    <row r="4770" spans="3:3">
      <c r="C4770"/>
    </row>
    <row r="4771" spans="3:3">
      <c r="C4771"/>
    </row>
    <row r="4772" spans="3:3">
      <c r="C4772"/>
    </row>
    <row r="4773" spans="3:3">
      <c r="C4773"/>
    </row>
    <row r="4774" spans="3:3">
      <c r="C4774"/>
    </row>
    <row r="4775" spans="3:3">
      <c r="C4775"/>
    </row>
    <row r="4776" spans="3:3">
      <c r="C4776"/>
    </row>
    <row r="4777" spans="3:3">
      <c r="C4777"/>
    </row>
    <row r="4778" spans="3:3">
      <c r="C4778"/>
    </row>
    <row r="4779" spans="3:3">
      <c r="C4779"/>
    </row>
    <row r="4780" spans="3:3">
      <c r="C4780"/>
    </row>
    <row r="4781" spans="3:3">
      <c r="C4781"/>
    </row>
    <row r="4782" spans="3:3">
      <c r="C4782"/>
    </row>
    <row r="4783" spans="3:3">
      <c r="C4783"/>
    </row>
    <row r="4784" spans="3:3">
      <c r="C4784"/>
    </row>
    <row r="4785" spans="3:3">
      <c r="C4785"/>
    </row>
    <row r="4786" spans="3:3">
      <c r="C4786"/>
    </row>
    <row r="4787" spans="3:3">
      <c r="C4787"/>
    </row>
    <row r="4788" spans="3:3">
      <c r="C4788"/>
    </row>
    <row r="4789" spans="3:3">
      <c r="C4789"/>
    </row>
    <row r="4790" spans="3:3">
      <c r="C4790"/>
    </row>
    <row r="4791" spans="3:3">
      <c r="C4791"/>
    </row>
    <row r="4792" spans="3:3">
      <c r="C4792"/>
    </row>
    <row r="4793" spans="3:3">
      <c r="C4793"/>
    </row>
    <row r="4794" spans="3:3">
      <c r="C4794"/>
    </row>
    <row r="4795" spans="3:3">
      <c r="C4795"/>
    </row>
    <row r="4796" spans="3:3">
      <c r="C4796"/>
    </row>
    <row r="4797" spans="3:3">
      <c r="C4797"/>
    </row>
    <row r="4798" spans="3:3">
      <c r="C4798"/>
    </row>
    <row r="4799" spans="3:3">
      <c r="C4799"/>
    </row>
    <row r="4800" spans="3:3">
      <c r="C4800"/>
    </row>
    <row r="4801" spans="3:3">
      <c r="C4801"/>
    </row>
    <row r="4802" spans="3:3">
      <c r="C4802"/>
    </row>
    <row r="4803" spans="3:3">
      <c r="C4803"/>
    </row>
    <row r="4804" spans="3:3">
      <c r="C4804"/>
    </row>
    <row r="4805" spans="3:3">
      <c r="C4805"/>
    </row>
    <row r="4806" spans="3:3">
      <c r="C4806"/>
    </row>
    <row r="4807" spans="3:3">
      <c r="C4807"/>
    </row>
    <row r="4808" spans="3:3">
      <c r="C4808"/>
    </row>
    <row r="4809" spans="3:3">
      <c r="C4809"/>
    </row>
    <row r="4810" spans="3:3">
      <c r="C4810"/>
    </row>
    <row r="4811" spans="3:3">
      <c r="C4811"/>
    </row>
    <row r="4812" spans="3:3">
      <c r="C4812"/>
    </row>
    <row r="4813" spans="3:3">
      <c r="C4813"/>
    </row>
    <row r="4814" spans="3:3">
      <c r="C4814"/>
    </row>
    <row r="4815" spans="3:3">
      <c r="C4815"/>
    </row>
    <row r="4816" spans="3:3">
      <c r="C4816"/>
    </row>
    <row r="4817" spans="3:3">
      <c r="C4817"/>
    </row>
    <row r="4818" spans="3:3">
      <c r="C4818"/>
    </row>
    <row r="4819" spans="3:3">
      <c r="C4819"/>
    </row>
    <row r="4820" spans="3:3">
      <c r="C4820"/>
    </row>
    <row r="4821" spans="3:3">
      <c r="C4821"/>
    </row>
    <row r="4822" spans="3:3">
      <c r="C4822"/>
    </row>
    <row r="4823" spans="3:3">
      <c r="C4823"/>
    </row>
    <row r="4824" spans="3:3">
      <c r="C4824"/>
    </row>
    <row r="4825" spans="3:3">
      <c r="C4825"/>
    </row>
    <row r="4826" spans="3:3">
      <c r="C4826"/>
    </row>
    <row r="4827" spans="3:3">
      <c r="C4827"/>
    </row>
    <row r="4828" spans="3:3">
      <c r="C4828"/>
    </row>
    <row r="4829" spans="3:3">
      <c r="C4829"/>
    </row>
    <row r="4830" spans="3:3">
      <c r="C4830"/>
    </row>
    <row r="4831" spans="3:3">
      <c r="C4831"/>
    </row>
    <row r="4832" spans="3:3">
      <c r="C4832"/>
    </row>
    <row r="4833" spans="3:3">
      <c r="C4833"/>
    </row>
    <row r="4834" spans="3:3">
      <c r="C4834"/>
    </row>
    <row r="4835" spans="3:3">
      <c r="C4835"/>
    </row>
    <row r="4836" spans="3:3">
      <c r="C4836"/>
    </row>
    <row r="4837" spans="3:3">
      <c r="C4837"/>
    </row>
    <row r="4838" spans="3:3">
      <c r="C4838"/>
    </row>
    <row r="4839" spans="3:3">
      <c r="C4839"/>
    </row>
    <row r="4840" spans="3:3">
      <c r="C4840"/>
    </row>
    <row r="4841" spans="3:3">
      <c r="C4841"/>
    </row>
    <row r="4842" spans="3:3">
      <c r="C4842"/>
    </row>
    <row r="4843" spans="3:3">
      <c r="C4843"/>
    </row>
    <row r="4844" spans="3:3">
      <c r="C4844"/>
    </row>
    <row r="4845" spans="3:3">
      <c r="C4845"/>
    </row>
    <row r="4846" spans="3:3">
      <c r="C4846"/>
    </row>
    <row r="4847" spans="3:3">
      <c r="C4847"/>
    </row>
    <row r="4848" spans="3:3">
      <c r="C4848"/>
    </row>
    <row r="4849" spans="3:3">
      <c r="C4849"/>
    </row>
    <row r="4850" spans="3:3">
      <c r="C4850"/>
    </row>
    <row r="4851" spans="3:3">
      <c r="C4851"/>
    </row>
    <row r="4852" spans="3:3">
      <c r="C4852"/>
    </row>
    <row r="4853" spans="3:3">
      <c r="C4853"/>
    </row>
    <row r="4854" spans="3:3">
      <c r="C4854"/>
    </row>
    <row r="4855" spans="3:3">
      <c r="C4855"/>
    </row>
    <row r="4856" spans="3:3">
      <c r="C4856"/>
    </row>
    <row r="4857" spans="3:3">
      <c r="C4857"/>
    </row>
    <row r="4858" spans="3:3">
      <c r="C4858"/>
    </row>
    <row r="4859" spans="3:3">
      <c r="C4859"/>
    </row>
    <row r="4860" spans="3:3">
      <c r="C4860"/>
    </row>
    <row r="4861" spans="3:3">
      <c r="C4861"/>
    </row>
    <row r="4862" spans="3:3">
      <c r="C4862"/>
    </row>
    <row r="4863" spans="3:3">
      <c r="C4863"/>
    </row>
    <row r="4864" spans="3:3">
      <c r="C4864"/>
    </row>
    <row r="4865" spans="3:3">
      <c r="C4865"/>
    </row>
    <row r="4866" spans="3:3">
      <c r="C4866"/>
    </row>
    <row r="4867" spans="3:3">
      <c r="C4867"/>
    </row>
    <row r="4868" spans="3:3">
      <c r="C4868"/>
    </row>
    <row r="4869" spans="3:3">
      <c r="C4869"/>
    </row>
    <row r="4870" spans="3:3">
      <c r="C4870"/>
    </row>
    <row r="4871" spans="3:3">
      <c r="C4871"/>
    </row>
    <row r="4872" spans="3:3">
      <c r="C4872"/>
    </row>
    <row r="4873" spans="3:3">
      <c r="C4873"/>
    </row>
    <row r="4874" spans="3:3">
      <c r="C4874"/>
    </row>
    <row r="4875" spans="3:3">
      <c r="C4875"/>
    </row>
    <row r="4876" spans="3:3">
      <c r="C4876"/>
    </row>
    <row r="4877" spans="3:3">
      <c r="C4877"/>
    </row>
    <row r="4878" spans="3:3">
      <c r="C4878"/>
    </row>
    <row r="4879" spans="3:3">
      <c r="C4879"/>
    </row>
    <row r="4880" spans="3:3">
      <c r="C4880"/>
    </row>
    <row r="4881" spans="3:3">
      <c r="C4881"/>
    </row>
    <row r="4882" spans="3:3">
      <c r="C4882"/>
    </row>
    <row r="4883" spans="3:3">
      <c r="C4883"/>
    </row>
    <row r="4884" spans="3:3">
      <c r="C4884"/>
    </row>
    <row r="4885" spans="3:3">
      <c r="C4885"/>
    </row>
    <row r="4886" spans="3:3">
      <c r="C4886"/>
    </row>
    <row r="4887" spans="3:3">
      <c r="C4887"/>
    </row>
    <row r="4888" spans="3:3">
      <c r="C4888"/>
    </row>
    <row r="4889" spans="3:3">
      <c r="C4889"/>
    </row>
    <row r="4890" spans="3:3">
      <c r="C4890"/>
    </row>
    <row r="4891" spans="3:3">
      <c r="C4891"/>
    </row>
    <row r="4892" spans="3:3">
      <c r="C4892"/>
    </row>
    <row r="4893" spans="3:3">
      <c r="C4893"/>
    </row>
    <row r="4894" spans="3:3">
      <c r="C4894"/>
    </row>
    <row r="4895" spans="3:3">
      <c r="C4895"/>
    </row>
    <row r="4896" spans="3:3">
      <c r="C4896"/>
    </row>
    <row r="4897" spans="3:3">
      <c r="C4897"/>
    </row>
    <row r="4898" spans="3:3">
      <c r="C4898"/>
    </row>
    <row r="4899" spans="3:3">
      <c r="C4899"/>
    </row>
    <row r="4900" spans="3:3">
      <c r="C4900"/>
    </row>
    <row r="4901" spans="3:3">
      <c r="C4901"/>
    </row>
    <row r="4902" spans="3:3">
      <c r="C4902"/>
    </row>
    <row r="4903" spans="3:3">
      <c r="C4903"/>
    </row>
    <row r="4904" spans="3:3">
      <c r="C4904"/>
    </row>
    <row r="4905" spans="3:3">
      <c r="C4905"/>
    </row>
    <row r="4906" spans="3:3">
      <c r="C4906"/>
    </row>
    <row r="4907" spans="3:3">
      <c r="C4907"/>
    </row>
    <row r="4908" spans="3:3">
      <c r="C4908"/>
    </row>
    <row r="4909" spans="3:3">
      <c r="C4909"/>
    </row>
    <row r="4910" spans="3:3">
      <c r="C4910"/>
    </row>
    <row r="4911" spans="3:3">
      <c r="C4911"/>
    </row>
    <row r="4912" spans="3:3">
      <c r="C4912"/>
    </row>
    <row r="4913" spans="3:3">
      <c r="C4913"/>
    </row>
    <row r="4914" spans="3:3">
      <c r="C4914"/>
    </row>
    <row r="4915" spans="3:3">
      <c r="C4915"/>
    </row>
    <row r="4916" spans="3:3">
      <c r="C4916"/>
    </row>
    <row r="4917" spans="3:3">
      <c r="C4917"/>
    </row>
    <row r="4918" spans="3:3">
      <c r="C4918"/>
    </row>
    <row r="4919" spans="3:3">
      <c r="C4919"/>
    </row>
    <row r="4920" spans="3:3">
      <c r="C4920"/>
    </row>
    <row r="4921" spans="3:3">
      <c r="C4921"/>
    </row>
    <row r="4922" spans="3:3">
      <c r="C4922"/>
    </row>
    <row r="4923" spans="3:3">
      <c r="C4923"/>
    </row>
    <row r="4924" spans="3:3">
      <c r="C4924"/>
    </row>
    <row r="4925" spans="3:3">
      <c r="C4925"/>
    </row>
    <row r="4926" spans="3:3">
      <c r="C4926"/>
    </row>
    <row r="4927" spans="3:3">
      <c r="C4927"/>
    </row>
    <row r="4928" spans="3:3">
      <c r="C4928"/>
    </row>
    <row r="4929" spans="3:3">
      <c r="C4929"/>
    </row>
    <row r="4930" spans="3:3">
      <c r="C4930"/>
    </row>
    <row r="4931" spans="3:3">
      <c r="C4931"/>
    </row>
    <row r="4932" spans="3:3">
      <c r="C4932"/>
    </row>
    <row r="4933" spans="3:3">
      <c r="C4933"/>
    </row>
    <row r="4934" spans="3:3">
      <c r="C4934"/>
    </row>
    <row r="4935" spans="3:3">
      <c r="C4935"/>
    </row>
    <row r="4936" spans="3:3">
      <c r="C4936"/>
    </row>
    <row r="4937" spans="3:3">
      <c r="C4937"/>
    </row>
    <row r="4938" spans="3:3">
      <c r="C4938"/>
    </row>
    <row r="4939" spans="3:3">
      <c r="C4939"/>
    </row>
    <row r="4940" spans="3:3">
      <c r="C4940"/>
    </row>
    <row r="4941" spans="3:3">
      <c r="C4941"/>
    </row>
    <row r="4942" spans="3:3">
      <c r="C4942"/>
    </row>
    <row r="4943" spans="3:3">
      <c r="C4943"/>
    </row>
    <row r="4944" spans="3:3">
      <c r="C4944"/>
    </row>
    <row r="4945" spans="3:3">
      <c r="C4945"/>
    </row>
    <row r="4946" spans="3:3">
      <c r="C4946"/>
    </row>
    <row r="4947" spans="3:3">
      <c r="C4947"/>
    </row>
    <row r="4948" spans="3:3">
      <c r="C4948"/>
    </row>
    <row r="4949" spans="3:3">
      <c r="C4949"/>
    </row>
    <row r="4950" spans="3:3">
      <c r="C4950"/>
    </row>
    <row r="4951" spans="3:3">
      <c r="C4951"/>
    </row>
    <row r="4952" spans="3:3">
      <c r="C4952"/>
    </row>
    <row r="4953" spans="3:3">
      <c r="C4953"/>
    </row>
    <row r="4954" spans="3:3">
      <c r="C4954"/>
    </row>
    <row r="4955" spans="3:3">
      <c r="C4955"/>
    </row>
    <row r="4956" spans="3:3">
      <c r="C4956"/>
    </row>
    <row r="4957" spans="3:3">
      <c r="C4957"/>
    </row>
    <row r="4958" spans="3:3">
      <c r="C4958"/>
    </row>
    <row r="4959" spans="3:3">
      <c r="C4959"/>
    </row>
    <row r="4960" spans="3:3">
      <c r="C4960"/>
    </row>
    <row r="4961" spans="3:3">
      <c r="C4961"/>
    </row>
    <row r="4962" spans="3:3">
      <c r="C4962"/>
    </row>
    <row r="4963" spans="3:3">
      <c r="C4963"/>
    </row>
    <row r="4964" spans="3:3">
      <c r="C4964"/>
    </row>
    <row r="4965" spans="3:3">
      <c r="C4965"/>
    </row>
    <row r="4966" spans="3:3">
      <c r="C4966"/>
    </row>
    <row r="4967" spans="3:3">
      <c r="C4967"/>
    </row>
    <row r="4968" spans="3:3">
      <c r="C4968"/>
    </row>
    <row r="4969" spans="3:3">
      <c r="C4969"/>
    </row>
    <row r="4970" spans="3:3">
      <c r="C4970"/>
    </row>
    <row r="4971" spans="3:3">
      <c r="C4971"/>
    </row>
    <row r="4972" spans="3:3">
      <c r="C4972"/>
    </row>
    <row r="4973" spans="3:3">
      <c r="C4973"/>
    </row>
    <row r="4974" spans="3:3">
      <c r="C4974"/>
    </row>
    <row r="4975" spans="3:3">
      <c r="C4975"/>
    </row>
    <row r="4976" spans="3:3">
      <c r="C4976"/>
    </row>
    <row r="4977" spans="3:3">
      <c r="C4977"/>
    </row>
    <row r="4978" spans="3:3">
      <c r="C4978"/>
    </row>
    <row r="4979" spans="3:3">
      <c r="C4979"/>
    </row>
    <row r="4980" spans="3:3">
      <c r="C4980"/>
    </row>
    <row r="4981" spans="3:3">
      <c r="C4981"/>
    </row>
    <row r="4982" spans="3:3">
      <c r="C4982"/>
    </row>
    <row r="4983" spans="3:3">
      <c r="C4983"/>
    </row>
    <row r="4984" spans="3:3">
      <c r="C4984"/>
    </row>
    <row r="4985" spans="3:3">
      <c r="C4985"/>
    </row>
    <row r="4986" spans="3:3">
      <c r="C4986"/>
    </row>
    <row r="4987" spans="3:3">
      <c r="C4987"/>
    </row>
    <row r="4988" spans="3:3">
      <c r="C4988"/>
    </row>
    <row r="4989" spans="3:3">
      <c r="C4989"/>
    </row>
    <row r="4990" spans="3:3">
      <c r="C4990"/>
    </row>
    <row r="4991" spans="3:3">
      <c r="C4991"/>
    </row>
    <row r="4992" spans="3:3">
      <c r="C4992"/>
    </row>
    <row r="4993" spans="3:3">
      <c r="C4993"/>
    </row>
    <row r="4994" spans="3:3">
      <c r="C4994"/>
    </row>
    <row r="4995" spans="3:3">
      <c r="C4995"/>
    </row>
    <row r="4996" spans="3:3">
      <c r="C4996"/>
    </row>
    <row r="4997" spans="3:3">
      <c r="C4997"/>
    </row>
    <row r="4998" spans="3:3">
      <c r="C4998"/>
    </row>
    <row r="4999" spans="3:3">
      <c r="C4999"/>
    </row>
    <row r="5000" spans="3:3">
      <c r="C5000"/>
    </row>
    <row r="5001" spans="3:3">
      <c r="C5001"/>
    </row>
    <row r="5002" spans="3:3">
      <c r="C5002"/>
    </row>
    <row r="5003" spans="3:3">
      <c r="C5003"/>
    </row>
    <row r="5004" spans="3:3">
      <c r="C5004"/>
    </row>
    <row r="5005" spans="3:3">
      <c r="C5005"/>
    </row>
    <row r="5006" spans="3:3">
      <c r="C5006"/>
    </row>
    <row r="5007" spans="3:3">
      <c r="C5007"/>
    </row>
    <row r="5008" spans="3:3">
      <c r="C5008"/>
    </row>
    <row r="5009" spans="3:3">
      <c r="C5009"/>
    </row>
    <row r="5010" spans="3:3">
      <c r="C5010"/>
    </row>
    <row r="5011" spans="3:3">
      <c r="C5011"/>
    </row>
    <row r="5012" spans="3:3">
      <c r="C5012"/>
    </row>
    <row r="5013" spans="3:3">
      <c r="C5013"/>
    </row>
    <row r="5014" spans="3:3">
      <c r="C5014"/>
    </row>
    <row r="5015" spans="3:3">
      <c r="C5015"/>
    </row>
    <row r="5016" spans="3:3">
      <c r="C5016"/>
    </row>
    <row r="5017" spans="3:3">
      <c r="C5017"/>
    </row>
    <row r="5018" spans="3:3">
      <c r="C5018"/>
    </row>
    <row r="5019" spans="3:3">
      <c r="C5019"/>
    </row>
    <row r="5020" spans="3:3">
      <c r="C5020"/>
    </row>
    <row r="5021" spans="3:3">
      <c r="C5021"/>
    </row>
    <row r="5022" spans="3:3">
      <c r="C5022"/>
    </row>
    <row r="5023" spans="3:3">
      <c r="C5023"/>
    </row>
    <row r="5024" spans="3:3">
      <c r="C5024"/>
    </row>
    <row r="5025" spans="3:3">
      <c r="C5025"/>
    </row>
    <row r="5026" spans="3:3">
      <c r="C5026"/>
    </row>
    <row r="5027" spans="3:3">
      <c r="C5027"/>
    </row>
    <row r="5028" spans="3:3">
      <c r="C5028"/>
    </row>
    <row r="5029" spans="3:3">
      <c r="C5029"/>
    </row>
    <row r="5030" spans="3:3">
      <c r="C5030"/>
    </row>
    <row r="5031" spans="3:3">
      <c r="C5031"/>
    </row>
    <row r="5032" spans="3:3">
      <c r="C5032"/>
    </row>
    <row r="5033" spans="3:3">
      <c r="C5033"/>
    </row>
    <row r="5034" spans="3:3">
      <c r="C5034"/>
    </row>
    <row r="5035" spans="3:3">
      <c r="C5035"/>
    </row>
    <row r="5036" spans="3:3">
      <c r="C5036"/>
    </row>
    <row r="5037" spans="3:3">
      <c r="C5037"/>
    </row>
    <row r="5038" spans="3:3">
      <c r="C5038"/>
    </row>
    <row r="5039" spans="3:3">
      <c r="C5039"/>
    </row>
    <row r="5040" spans="3:3">
      <c r="C5040"/>
    </row>
    <row r="5041" spans="3:3">
      <c r="C5041"/>
    </row>
    <row r="5042" spans="3:3">
      <c r="C5042"/>
    </row>
    <row r="5043" spans="3:3">
      <c r="C5043"/>
    </row>
    <row r="5044" spans="3:3">
      <c r="C5044"/>
    </row>
    <row r="5045" spans="3:3">
      <c r="C5045"/>
    </row>
    <row r="5046" spans="3:3">
      <c r="C5046"/>
    </row>
    <row r="5047" spans="3:3">
      <c r="C5047"/>
    </row>
    <row r="5048" spans="3:3">
      <c r="C5048"/>
    </row>
    <row r="5049" spans="3:3">
      <c r="C5049"/>
    </row>
    <row r="5050" spans="3:3">
      <c r="C5050"/>
    </row>
    <row r="5051" spans="3:3">
      <c r="C5051"/>
    </row>
    <row r="5052" spans="3:3">
      <c r="C5052"/>
    </row>
    <row r="5053" spans="3:3">
      <c r="C5053"/>
    </row>
    <row r="5054" spans="3:3">
      <c r="C5054"/>
    </row>
    <row r="5055" spans="3:3">
      <c r="C5055"/>
    </row>
    <row r="5056" spans="3:3">
      <c r="C5056"/>
    </row>
    <row r="5057" spans="3:3">
      <c r="C5057"/>
    </row>
    <row r="5058" spans="3:3">
      <c r="C5058"/>
    </row>
    <row r="5059" spans="3:3">
      <c r="C5059"/>
    </row>
    <row r="5060" spans="3:3">
      <c r="C5060"/>
    </row>
    <row r="5061" spans="3:3">
      <c r="C5061"/>
    </row>
    <row r="5062" spans="3:3">
      <c r="C5062"/>
    </row>
    <row r="5063" spans="3:3">
      <c r="C5063"/>
    </row>
    <row r="5064" spans="3:3">
      <c r="C5064"/>
    </row>
    <row r="5065" spans="3:3">
      <c r="C5065"/>
    </row>
    <row r="5066" spans="3:3">
      <c r="C5066"/>
    </row>
    <row r="5067" spans="3:3">
      <c r="C5067"/>
    </row>
    <row r="5068" spans="3:3">
      <c r="C5068"/>
    </row>
    <row r="5069" spans="3:3">
      <c r="C5069"/>
    </row>
    <row r="5070" spans="3:3">
      <c r="C5070"/>
    </row>
    <row r="5071" spans="3:3">
      <c r="C5071"/>
    </row>
    <row r="5072" spans="3:3">
      <c r="C5072"/>
    </row>
    <row r="5073" spans="3:3">
      <c r="C5073"/>
    </row>
    <row r="5074" spans="3:3">
      <c r="C5074"/>
    </row>
    <row r="5075" spans="3:3">
      <c r="C5075"/>
    </row>
    <row r="5076" spans="3:3">
      <c r="C5076"/>
    </row>
    <row r="5077" spans="3:3">
      <c r="C5077"/>
    </row>
    <row r="5078" spans="3:3">
      <c r="C5078"/>
    </row>
    <row r="5079" spans="3:3">
      <c r="C5079"/>
    </row>
    <row r="5080" spans="3:3">
      <c r="C5080"/>
    </row>
    <row r="5081" spans="3:3">
      <c r="C5081"/>
    </row>
    <row r="5082" spans="3:3">
      <c r="C5082"/>
    </row>
    <row r="5083" spans="3:3">
      <c r="C5083"/>
    </row>
    <row r="5084" spans="3:3">
      <c r="C5084"/>
    </row>
    <row r="5085" spans="3:3">
      <c r="C5085"/>
    </row>
    <row r="5086" spans="3:3">
      <c r="C5086"/>
    </row>
    <row r="5087" spans="3:3">
      <c r="C5087"/>
    </row>
    <row r="5088" spans="3:3">
      <c r="C5088"/>
    </row>
    <row r="5089" spans="3:3">
      <c r="C5089"/>
    </row>
    <row r="5090" spans="3:3">
      <c r="C5090"/>
    </row>
    <row r="5091" spans="3:3">
      <c r="C5091"/>
    </row>
    <row r="5092" spans="3:3">
      <c r="C5092"/>
    </row>
    <row r="5093" spans="3:3">
      <c r="C5093"/>
    </row>
    <row r="5094" spans="3:3">
      <c r="C5094"/>
    </row>
    <row r="5095" spans="3:3">
      <c r="C5095"/>
    </row>
    <row r="5096" spans="3:3">
      <c r="C5096"/>
    </row>
    <row r="5097" spans="3:3">
      <c r="C5097"/>
    </row>
    <row r="5098" spans="3:3">
      <c r="C5098"/>
    </row>
    <row r="5099" spans="3:3">
      <c r="C5099"/>
    </row>
    <row r="5100" spans="3:3">
      <c r="C5100"/>
    </row>
    <row r="5101" spans="3:3">
      <c r="C5101"/>
    </row>
    <row r="5102" spans="3:3">
      <c r="C5102"/>
    </row>
    <row r="5103" spans="3:3">
      <c r="C5103"/>
    </row>
    <row r="5104" spans="3:3">
      <c r="C5104"/>
    </row>
    <row r="5105" spans="3:3">
      <c r="C5105"/>
    </row>
    <row r="5106" spans="3:3">
      <c r="C5106"/>
    </row>
    <row r="5107" spans="3:3">
      <c r="C5107"/>
    </row>
    <row r="5108" spans="3:3">
      <c r="C5108"/>
    </row>
    <row r="5109" spans="3:3">
      <c r="C5109"/>
    </row>
    <row r="5110" spans="3:3">
      <c r="C5110"/>
    </row>
    <row r="5111" spans="3:3">
      <c r="C5111"/>
    </row>
    <row r="5112" spans="3:3">
      <c r="C5112"/>
    </row>
    <row r="5113" spans="3:3">
      <c r="C5113"/>
    </row>
    <row r="5114" spans="3:3">
      <c r="C5114"/>
    </row>
    <row r="5115" spans="3:3">
      <c r="C5115"/>
    </row>
    <row r="5116" spans="3:3">
      <c r="C5116"/>
    </row>
    <row r="5117" spans="3:3">
      <c r="C5117"/>
    </row>
    <row r="5118" spans="3:3">
      <c r="C5118"/>
    </row>
    <row r="5119" spans="3:3">
      <c r="C5119"/>
    </row>
    <row r="5120" spans="3:3">
      <c r="C5120"/>
    </row>
    <row r="5121" spans="3:3">
      <c r="C5121"/>
    </row>
    <row r="5122" spans="3:3">
      <c r="C5122"/>
    </row>
    <row r="5123" spans="3:3">
      <c r="C5123"/>
    </row>
    <row r="5124" spans="3:3">
      <c r="C5124"/>
    </row>
    <row r="5125" spans="3:3">
      <c r="C5125"/>
    </row>
    <row r="5126" spans="3:3">
      <c r="C5126"/>
    </row>
    <row r="5127" spans="3:3">
      <c r="C5127"/>
    </row>
    <row r="5128" spans="3:3">
      <c r="C5128"/>
    </row>
    <row r="5129" spans="3:3">
      <c r="C5129"/>
    </row>
    <row r="5130" spans="3:3">
      <c r="C5130"/>
    </row>
    <row r="5131" spans="3:3">
      <c r="C5131"/>
    </row>
    <row r="5132" spans="3:3">
      <c r="C5132"/>
    </row>
    <row r="5133" spans="3:3">
      <c r="C5133"/>
    </row>
    <row r="5134" spans="3:3">
      <c r="C5134"/>
    </row>
    <row r="5135" spans="3:3">
      <c r="C5135"/>
    </row>
    <row r="5136" spans="3:3">
      <c r="C5136"/>
    </row>
    <row r="5137" spans="3:3">
      <c r="C5137"/>
    </row>
    <row r="5138" spans="3:3">
      <c r="C5138"/>
    </row>
    <row r="5139" spans="3:3">
      <c r="C5139"/>
    </row>
    <row r="5140" spans="3:3">
      <c r="C5140"/>
    </row>
    <row r="5141" spans="3:3">
      <c r="C5141"/>
    </row>
    <row r="5142" spans="3:3">
      <c r="C5142"/>
    </row>
    <row r="5143" spans="3:3">
      <c r="C5143"/>
    </row>
    <row r="5144" spans="3:3">
      <c r="C5144"/>
    </row>
    <row r="5145" spans="3:3">
      <c r="C5145"/>
    </row>
    <row r="5146" spans="3:3">
      <c r="C5146"/>
    </row>
    <row r="5147" spans="3:3">
      <c r="C5147"/>
    </row>
    <row r="5148" spans="3:3">
      <c r="C5148"/>
    </row>
    <row r="5149" spans="3:3">
      <c r="C5149"/>
    </row>
    <row r="5150" spans="3:3">
      <c r="C5150"/>
    </row>
    <row r="5151" spans="3:3">
      <c r="C5151"/>
    </row>
    <row r="5152" spans="3:3">
      <c r="C5152"/>
    </row>
    <row r="5153" spans="3:3">
      <c r="C5153"/>
    </row>
    <row r="5154" spans="3:3">
      <c r="C5154"/>
    </row>
    <row r="5155" spans="3:3">
      <c r="C5155"/>
    </row>
    <row r="5156" spans="3:3">
      <c r="C5156"/>
    </row>
    <row r="5157" spans="3:3">
      <c r="C5157"/>
    </row>
    <row r="5158" spans="3:3">
      <c r="C5158"/>
    </row>
    <row r="5159" spans="3:3">
      <c r="C5159"/>
    </row>
    <row r="5160" spans="3:3">
      <c r="C5160"/>
    </row>
    <row r="5161" spans="3:3">
      <c r="C5161"/>
    </row>
    <row r="5162" spans="3:3">
      <c r="C5162"/>
    </row>
    <row r="5163" spans="3:3">
      <c r="C5163"/>
    </row>
    <row r="5164" spans="3:3">
      <c r="C5164"/>
    </row>
    <row r="5165" spans="3:3">
      <c r="C5165"/>
    </row>
    <row r="5166" spans="3:3">
      <c r="C5166"/>
    </row>
    <row r="5167" spans="3:3">
      <c r="C5167"/>
    </row>
    <row r="5168" spans="3:3">
      <c r="C5168"/>
    </row>
    <row r="5169" spans="3:3">
      <c r="C5169"/>
    </row>
    <row r="5170" spans="3:3">
      <c r="C5170"/>
    </row>
    <row r="5171" spans="3:3">
      <c r="C5171"/>
    </row>
    <row r="5172" spans="3:3">
      <c r="C5172"/>
    </row>
    <row r="5173" spans="3:3">
      <c r="C5173"/>
    </row>
    <row r="5174" spans="3:3">
      <c r="C5174"/>
    </row>
    <row r="5175" spans="3:3">
      <c r="C5175"/>
    </row>
    <row r="5176" spans="3:3">
      <c r="C5176"/>
    </row>
    <row r="5177" spans="3:3">
      <c r="C5177"/>
    </row>
    <row r="5178" spans="3:3">
      <c r="C5178"/>
    </row>
    <row r="5179" spans="3:3">
      <c r="C5179"/>
    </row>
    <row r="5180" spans="3:3">
      <c r="C5180"/>
    </row>
    <row r="5181" spans="3:3">
      <c r="C5181"/>
    </row>
    <row r="5182" spans="3:3">
      <c r="C5182"/>
    </row>
    <row r="5183" spans="3:3">
      <c r="C5183"/>
    </row>
    <row r="5184" spans="3:3">
      <c r="C5184"/>
    </row>
    <row r="5185" spans="3:3">
      <c r="C5185"/>
    </row>
    <row r="5186" spans="3:3">
      <c r="C5186"/>
    </row>
    <row r="5187" spans="3:3">
      <c r="C5187"/>
    </row>
    <row r="5188" spans="3:3">
      <c r="C5188"/>
    </row>
    <row r="5189" spans="3:3">
      <c r="C5189"/>
    </row>
    <row r="5190" spans="3:3">
      <c r="C5190"/>
    </row>
    <row r="5191" spans="3:3">
      <c r="C5191"/>
    </row>
    <row r="5192" spans="3:3">
      <c r="C5192"/>
    </row>
    <row r="5193" spans="3:3">
      <c r="C5193"/>
    </row>
    <row r="5194" spans="3:3">
      <c r="C5194"/>
    </row>
    <row r="5195" spans="3:3">
      <c r="C5195"/>
    </row>
    <row r="5196" spans="3:3">
      <c r="C5196"/>
    </row>
    <row r="5197" spans="3:3">
      <c r="C5197"/>
    </row>
    <row r="5198" spans="3:3">
      <c r="C5198"/>
    </row>
    <row r="5199" spans="3:3">
      <c r="C5199"/>
    </row>
    <row r="5200" spans="3:3">
      <c r="C5200"/>
    </row>
    <row r="5201" spans="3:3">
      <c r="C5201"/>
    </row>
    <row r="5202" spans="3:3">
      <c r="C5202"/>
    </row>
    <row r="5203" spans="3:3">
      <c r="C5203"/>
    </row>
    <row r="5204" spans="3:3">
      <c r="C5204"/>
    </row>
    <row r="5205" spans="3:3">
      <c r="C5205"/>
    </row>
    <row r="5206" spans="3:3">
      <c r="C5206"/>
    </row>
    <row r="5207" spans="3:3">
      <c r="C5207"/>
    </row>
    <row r="5208" spans="3:3">
      <c r="C5208"/>
    </row>
    <row r="5209" spans="3:3">
      <c r="C5209"/>
    </row>
    <row r="5210" spans="3:3">
      <c r="C5210"/>
    </row>
    <row r="5211" spans="3:3">
      <c r="C5211"/>
    </row>
    <row r="5212" spans="3:3">
      <c r="C5212"/>
    </row>
    <row r="5213" spans="3:3">
      <c r="C5213"/>
    </row>
    <row r="5214" spans="3:3">
      <c r="C5214"/>
    </row>
    <row r="5215" spans="3:3">
      <c r="C5215"/>
    </row>
    <row r="5216" spans="3:3">
      <c r="C5216"/>
    </row>
    <row r="5217" spans="3:3">
      <c r="C5217"/>
    </row>
    <row r="5218" spans="3:3">
      <c r="C5218"/>
    </row>
    <row r="5219" spans="3:3">
      <c r="C5219"/>
    </row>
    <row r="5220" spans="3:3">
      <c r="C5220"/>
    </row>
    <row r="5221" spans="3:3">
      <c r="C5221"/>
    </row>
    <row r="5222" spans="3:3">
      <c r="C5222"/>
    </row>
    <row r="5223" spans="3:3">
      <c r="C5223"/>
    </row>
    <row r="5224" spans="3:3">
      <c r="C5224"/>
    </row>
    <row r="5225" spans="3:3">
      <c r="C5225"/>
    </row>
    <row r="5226" spans="3:3">
      <c r="C5226"/>
    </row>
    <row r="5227" spans="3:3">
      <c r="C5227"/>
    </row>
    <row r="5228" spans="3:3">
      <c r="C5228"/>
    </row>
    <row r="5229" spans="3:3">
      <c r="C5229"/>
    </row>
    <row r="5230" spans="3:3">
      <c r="C5230"/>
    </row>
    <row r="5231" spans="3:3">
      <c r="C5231"/>
    </row>
    <row r="5232" spans="3:3">
      <c r="C5232"/>
    </row>
    <row r="5233" spans="3:3">
      <c r="C5233"/>
    </row>
    <row r="5234" spans="3:3">
      <c r="C5234"/>
    </row>
    <row r="5235" spans="3:3">
      <c r="C5235"/>
    </row>
    <row r="5236" spans="3:3">
      <c r="C5236"/>
    </row>
    <row r="5237" spans="3:3">
      <c r="C5237"/>
    </row>
    <row r="5238" spans="3:3">
      <c r="C5238"/>
    </row>
    <row r="5239" spans="3:3">
      <c r="C5239"/>
    </row>
    <row r="5240" spans="3:3">
      <c r="C5240"/>
    </row>
    <row r="5241" spans="3:3">
      <c r="C5241"/>
    </row>
    <row r="5242" spans="3:3">
      <c r="C5242"/>
    </row>
    <row r="5243" spans="3:3">
      <c r="C5243"/>
    </row>
    <row r="5244" spans="3:3">
      <c r="C5244"/>
    </row>
    <row r="5245" spans="3:3">
      <c r="C5245"/>
    </row>
    <row r="5246" spans="3:3">
      <c r="C5246"/>
    </row>
    <row r="5247" spans="3:3">
      <c r="C5247"/>
    </row>
    <row r="5248" spans="3:3">
      <c r="C5248"/>
    </row>
    <row r="5249" spans="3:3">
      <c r="C5249"/>
    </row>
    <row r="5250" spans="3:3">
      <c r="C5250"/>
    </row>
    <row r="5251" spans="3:3">
      <c r="C5251"/>
    </row>
    <row r="5252" spans="3:3">
      <c r="C5252"/>
    </row>
    <row r="5253" spans="3:3">
      <c r="C5253"/>
    </row>
    <row r="5254" spans="3:3">
      <c r="C5254"/>
    </row>
    <row r="5255" spans="3:3">
      <c r="C5255"/>
    </row>
    <row r="5256" spans="3:3">
      <c r="C5256"/>
    </row>
    <row r="5257" spans="3:3">
      <c r="C5257"/>
    </row>
    <row r="5258" spans="3:3">
      <c r="C5258"/>
    </row>
    <row r="5259" spans="3:3">
      <c r="C5259"/>
    </row>
    <row r="5260" spans="3:3">
      <c r="C5260"/>
    </row>
    <row r="5261" spans="3:3">
      <c r="C5261"/>
    </row>
    <row r="5262" spans="3:3">
      <c r="C5262"/>
    </row>
    <row r="5263" spans="3:3">
      <c r="C5263"/>
    </row>
    <row r="5264" spans="3:3">
      <c r="C5264"/>
    </row>
    <row r="5265" spans="3:3">
      <c r="C5265"/>
    </row>
    <row r="5266" spans="3:3">
      <c r="C5266"/>
    </row>
    <row r="5267" spans="3:3">
      <c r="C5267"/>
    </row>
    <row r="5268" spans="3:3">
      <c r="C5268"/>
    </row>
    <row r="5269" spans="3:3">
      <c r="C5269"/>
    </row>
    <row r="5270" spans="3:3">
      <c r="C5270"/>
    </row>
    <row r="5271" spans="3:3">
      <c r="C5271"/>
    </row>
    <row r="5272" spans="3:3">
      <c r="C5272"/>
    </row>
    <row r="5273" spans="3:3">
      <c r="C5273"/>
    </row>
    <row r="5274" spans="3:3">
      <c r="C5274"/>
    </row>
    <row r="5275" spans="3:3">
      <c r="C5275"/>
    </row>
    <row r="5276" spans="3:3">
      <c r="C5276"/>
    </row>
    <row r="5277" spans="3:3">
      <c r="C5277"/>
    </row>
    <row r="5278" spans="3:3">
      <c r="C5278"/>
    </row>
    <row r="5279" spans="3:3">
      <c r="C5279"/>
    </row>
    <row r="5280" spans="3:3">
      <c r="C5280"/>
    </row>
    <row r="5281" spans="3:3">
      <c r="C5281"/>
    </row>
    <row r="5282" spans="3:3">
      <c r="C5282"/>
    </row>
    <row r="5283" spans="3:3">
      <c r="C5283"/>
    </row>
    <row r="5284" spans="3:3">
      <c r="C5284"/>
    </row>
    <row r="5285" spans="3:3">
      <c r="C5285"/>
    </row>
    <row r="5286" spans="3:3">
      <c r="C5286"/>
    </row>
    <row r="5287" spans="3:3">
      <c r="C5287"/>
    </row>
    <row r="5288" spans="3:3">
      <c r="C5288"/>
    </row>
    <row r="5289" spans="3:3">
      <c r="C5289"/>
    </row>
    <row r="5290" spans="3:3">
      <c r="C5290"/>
    </row>
    <row r="5291" spans="3:3">
      <c r="C5291"/>
    </row>
    <row r="5292" spans="3:3">
      <c r="C5292"/>
    </row>
    <row r="5293" spans="3:3">
      <c r="C5293"/>
    </row>
    <row r="5294" spans="3:3">
      <c r="C5294"/>
    </row>
    <row r="5295" spans="3:3">
      <c r="C5295"/>
    </row>
    <row r="5296" spans="3:3">
      <c r="C5296"/>
    </row>
    <row r="5297" spans="3:3">
      <c r="C5297"/>
    </row>
    <row r="5298" spans="3:3">
      <c r="C5298"/>
    </row>
    <row r="5299" spans="3:3">
      <c r="C5299"/>
    </row>
    <row r="5300" spans="3:3">
      <c r="C5300"/>
    </row>
    <row r="5301" spans="3:3">
      <c r="C5301"/>
    </row>
    <row r="5302" spans="3:3">
      <c r="C5302"/>
    </row>
    <row r="5303" spans="3:3">
      <c r="C5303"/>
    </row>
    <row r="5304" spans="3:3">
      <c r="C5304"/>
    </row>
    <row r="5305" spans="3:3">
      <c r="C5305"/>
    </row>
    <row r="5306" spans="3:3">
      <c r="C5306"/>
    </row>
    <row r="5307" spans="3:3">
      <c r="C5307"/>
    </row>
    <row r="5308" spans="3:3">
      <c r="C5308"/>
    </row>
    <row r="5309" spans="3:3">
      <c r="C5309"/>
    </row>
    <row r="5310" spans="3:3">
      <c r="C5310"/>
    </row>
    <row r="5311" spans="3:3">
      <c r="C5311"/>
    </row>
    <row r="5312" spans="3:3">
      <c r="C5312"/>
    </row>
    <row r="5313" spans="3:3">
      <c r="C5313"/>
    </row>
    <row r="5314" spans="3:3">
      <c r="C5314"/>
    </row>
    <row r="5315" spans="3:3">
      <c r="C5315"/>
    </row>
    <row r="5316" spans="3:3">
      <c r="C5316"/>
    </row>
    <row r="5317" spans="3:3">
      <c r="C5317"/>
    </row>
    <row r="5318" spans="3:3">
      <c r="C5318"/>
    </row>
    <row r="5319" spans="3:3">
      <c r="C5319"/>
    </row>
    <row r="5320" spans="3:3">
      <c r="C5320"/>
    </row>
    <row r="5321" spans="3:3">
      <c r="C5321"/>
    </row>
    <row r="5322" spans="3:3">
      <c r="C5322"/>
    </row>
    <row r="5323" spans="3:3">
      <c r="C5323"/>
    </row>
    <row r="5324" spans="3:3">
      <c r="C5324"/>
    </row>
    <row r="5325" spans="3:3">
      <c r="C5325"/>
    </row>
    <row r="5326" spans="3:3">
      <c r="C5326"/>
    </row>
    <row r="5327" spans="3:3">
      <c r="C5327"/>
    </row>
    <row r="5328" spans="3:3">
      <c r="C5328"/>
    </row>
    <row r="5329" spans="3:3">
      <c r="C5329"/>
    </row>
    <row r="5330" spans="3:3">
      <c r="C5330"/>
    </row>
    <row r="5331" spans="3:3">
      <c r="C5331"/>
    </row>
    <row r="5332" spans="3:3">
      <c r="C5332"/>
    </row>
    <row r="5333" spans="3:3">
      <c r="C5333"/>
    </row>
    <row r="5334" spans="3:3">
      <c r="C5334"/>
    </row>
    <row r="5335" spans="3:3">
      <c r="C5335"/>
    </row>
    <row r="5336" spans="3:3">
      <c r="C5336"/>
    </row>
    <row r="5337" spans="3:3">
      <c r="C5337"/>
    </row>
    <row r="5338" spans="3:3">
      <c r="C5338"/>
    </row>
    <row r="5339" spans="3:3">
      <c r="C5339"/>
    </row>
    <row r="5340" spans="3:3">
      <c r="C5340"/>
    </row>
    <row r="5341" spans="3:3">
      <c r="C5341"/>
    </row>
    <row r="5342" spans="3:3">
      <c r="C5342"/>
    </row>
    <row r="5343" spans="3:3">
      <c r="C5343"/>
    </row>
    <row r="5344" spans="3:3">
      <c r="C5344"/>
    </row>
    <row r="5345" spans="3:3">
      <c r="C5345"/>
    </row>
    <row r="5346" spans="3:3">
      <c r="C5346"/>
    </row>
    <row r="5347" spans="3:3">
      <c r="C5347"/>
    </row>
    <row r="5348" spans="3:3">
      <c r="C5348"/>
    </row>
    <row r="5349" spans="3:3">
      <c r="C5349"/>
    </row>
    <row r="5350" spans="3:3">
      <c r="C5350"/>
    </row>
    <row r="5351" spans="3:3">
      <c r="C5351"/>
    </row>
    <row r="5352" spans="3:3">
      <c r="C5352"/>
    </row>
    <row r="5353" spans="3:3">
      <c r="C5353"/>
    </row>
    <row r="5354" spans="3:3">
      <c r="C5354"/>
    </row>
    <row r="5355" spans="3:3">
      <c r="C5355"/>
    </row>
    <row r="5356" spans="3:3">
      <c r="C5356"/>
    </row>
    <row r="5357" spans="3:3">
      <c r="C5357"/>
    </row>
    <row r="5358" spans="3:3">
      <c r="C5358"/>
    </row>
    <row r="5359" spans="3:3">
      <c r="C5359"/>
    </row>
    <row r="5360" spans="3:3">
      <c r="C5360"/>
    </row>
    <row r="5361" spans="3:3">
      <c r="C5361"/>
    </row>
    <row r="5362" spans="3:3">
      <c r="C5362"/>
    </row>
    <row r="5363" spans="3:3">
      <c r="C5363"/>
    </row>
    <row r="5364" spans="3:3">
      <c r="C5364"/>
    </row>
    <row r="5365" spans="3:3">
      <c r="C5365"/>
    </row>
    <row r="5366" spans="3:3">
      <c r="C5366"/>
    </row>
    <row r="5367" spans="3:3">
      <c r="C5367"/>
    </row>
    <row r="5368" spans="3:3">
      <c r="C5368"/>
    </row>
    <row r="5369" spans="3:3">
      <c r="C5369"/>
    </row>
    <row r="5370" spans="3:3">
      <c r="C5370"/>
    </row>
    <row r="5371" spans="3:3">
      <c r="C5371"/>
    </row>
    <row r="5372" spans="3:3">
      <c r="C5372"/>
    </row>
    <row r="5373" spans="3:3">
      <c r="C5373"/>
    </row>
    <row r="5374" spans="3:3">
      <c r="C5374"/>
    </row>
    <row r="5375" spans="3:3">
      <c r="C5375"/>
    </row>
    <row r="5376" spans="3:3">
      <c r="C5376"/>
    </row>
    <row r="5377" spans="3:3">
      <c r="C5377"/>
    </row>
    <row r="5378" spans="3:3">
      <c r="C5378"/>
    </row>
    <row r="5379" spans="3:3">
      <c r="C5379"/>
    </row>
    <row r="5380" spans="3:3">
      <c r="C5380"/>
    </row>
    <row r="5381" spans="3:3">
      <c r="C5381"/>
    </row>
    <row r="5382" spans="3:3">
      <c r="C5382"/>
    </row>
    <row r="5383" spans="3:3">
      <c r="C5383"/>
    </row>
    <row r="5384" spans="3:3">
      <c r="C5384"/>
    </row>
    <row r="5385" spans="3:3">
      <c r="C5385"/>
    </row>
    <row r="5386" spans="3:3">
      <c r="C5386"/>
    </row>
    <row r="5387" spans="3:3">
      <c r="C5387"/>
    </row>
    <row r="5388" spans="3:3">
      <c r="C5388"/>
    </row>
    <row r="5389" spans="3:3">
      <c r="C5389"/>
    </row>
    <row r="5390" spans="3:3">
      <c r="C5390"/>
    </row>
    <row r="5391" spans="3:3">
      <c r="C5391"/>
    </row>
    <row r="5392" spans="3:3">
      <c r="C5392"/>
    </row>
    <row r="5393" spans="3:3">
      <c r="C5393"/>
    </row>
    <row r="5394" spans="3:3">
      <c r="C5394"/>
    </row>
    <row r="5395" spans="3:3">
      <c r="C5395"/>
    </row>
    <row r="5396" spans="3:3">
      <c r="C5396"/>
    </row>
    <row r="5397" spans="3:3">
      <c r="C5397"/>
    </row>
    <row r="5398" spans="3:3">
      <c r="C5398"/>
    </row>
    <row r="5399" spans="3:3">
      <c r="C5399"/>
    </row>
    <row r="5400" spans="3:3">
      <c r="C5400"/>
    </row>
    <row r="5401" spans="3:3">
      <c r="C5401"/>
    </row>
    <row r="5402" spans="3:3">
      <c r="C5402"/>
    </row>
    <row r="5403" spans="3:3">
      <c r="C5403"/>
    </row>
    <row r="5404" spans="3:3">
      <c r="C5404"/>
    </row>
    <row r="5405" spans="3:3">
      <c r="C5405"/>
    </row>
    <row r="5406" spans="3:3">
      <c r="C5406"/>
    </row>
    <row r="5407" spans="3:3">
      <c r="C5407"/>
    </row>
    <row r="5408" spans="3:3">
      <c r="C5408"/>
    </row>
    <row r="5409" spans="3:3">
      <c r="C5409"/>
    </row>
    <row r="5410" spans="3:3">
      <c r="C5410"/>
    </row>
    <row r="5411" spans="3:3">
      <c r="C5411"/>
    </row>
    <row r="5412" spans="3:3">
      <c r="C5412"/>
    </row>
    <row r="5413" spans="3:3">
      <c r="C5413"/>
    </row>
    <row r="5414" spans="3:3">
      <c r="C5414"/>
    </row>
    <row r="5415" spans="3:3">
      <c r="C5415"/>
    </row>
    <row r="5416" spans="3:3">
      <c r="C5416"/>
    </row>
    <row r="5417" spans="3:3">
      <c r="C5417"/>
    </row>
    <row r="5418" spans="3:3">
      <c r="C5418"/>
    </row>
    <row r="5419" spans="3:3">
      <c r="C5419"/>
    </row>
    <row r="5420" spans="3:3">
      <c r="C5420"/>
    </row>
    <row r="5421" spans="3:3">
      <c r="C5421"/>
    </row>
    <row r="5422" spans="3:3">
      <c r="C5422"/>
    </row>
    <row r="5423" spans="3:3">
      <c r="C5423"/>
    </row>
    <row r="5424" spans="3:3">
      <c r="C5424"/>
    </row>
    <row r="5425" spans="3:3">
      <c r="C5425"/>
    </row>
    <row r="5426" spans="3:3">
      <c r="C5426"/>
    </row>
    <row r="5427" spans="3:3">
      <c r="C5427"/>
    </row>
    <row r="5428" spans="3:3">
      <c r="C5428"/>
    </row>
    <row r="5429" spans="3:3">
      <c r="C5429"/>
    </row>
    <row r="5430" spans="3:3">
      <c r="C5430"/>
    </row>
    <row r="5431" spans="3:3">
      <c r="C5431"/>
    </row>
    <row r="5432" spans="3:3">
      <c r="C5432"/>
    </row>
    <row r="5433" spans="3:3">
      <c r="C5433"/>
    </row>
    <row r="5434" spans="3:3">
      <c r="C5434"/>
    </row>
    <row r="5435" spans="3:3">
      <c r="C5435"/>
    </row>
    <row r="5436" spans="3:3">
      <c r="C5436"/>
    </row>
    <row r="5437" spans="3:3">
      <c r="C5437"/>
    </row>
    <row r="5438" spans="3:3">
      <c r="C5438"/>
    </row>
    <row r="5439" spans="3:3">
      <c r="C5439"/>
    </row>
    <row r="5440" spans="3:3">
      <c r="C5440"/>
    </row>
    <row r="5441" spans="3:3">
      <c r="C5441"/>
    </row>
    <row r="5442" spans="3:3">
      <c r="C5442"/>
    </row>
    <row r="5443" spans="3:3">
      <c r="C5443"/>
    </row>
    <row r="5444" spans="3:3">
      <c r="C5444"/>
    </row>
    <row r="5445" spans="3:3">
      <c r="C5445"/>
    </row>
    <row r="5446" spans="3:3">
      <c r="C5446"/>
    </row>
    <row r="5447" spans="3:3">
      <c r="C5447"/>
    </row>
    <row r="5448" spans="3:3">
      <c r="C5448"/>
    </row>
    <row r="5449" spans="3:3">
      <c r="C5449"/>
    </row>
    <row r="5450" spans="3:3">
      <c r="C5450"/>
    </row>
    <row r="5451" spans="3:3">
      <c r="C5451"/>
    </row>
    <row r="5452" spans="3:3">
      <c r="C5452"/>
    </row>
    <row r="5453" spans="3:3">
      <c r="C5453"/>
    </row>
    <row r="5454" spans="3:3">
      <c r="C5454"/>
    </row>
    <row r="5455" spans="3:3">
      <c r="C5455"/>
    </row>
    <row r="5456" spans="3:3">
      <c r="C5456"/>
    </row>
    <row r="5457" spans="3:3">
      <c r="C5457"/>
    </row>
    <row r="5458" spans="3:3">
      <c r="C5458"/>
    </row>
    <row r="5459" spans="3:3">
      <c r="C5459"/>
    </row>
    <row r="5460" spans="3:3">
      <c r="C5460"/>
    </row>
    <row r="5461" spans="3:3">
      <c r="C5461"/>
    </row>
    <row r="5462" spans="3:3">
      <c r="C5462"/>
    </row>
    <row r="5463" spans="3:3">
      <c r="C5463"/>
    </row>
    <row r="5464" spans="3:3">
      <c r="C5464"/>
    </row>
    <row r="5465" spans="3:3">
      <c r="C5465"/>
    </row>
    <row r="5466" spans="3:3">
      <c r="C5466"/>
    </row>
    <row r="5467" spans="3:3">
      <c r="C5467"/>
    </row>
    <row r="5468" spans="3:3">
      <c r="C5468"/>
    </row>
    <row r="5469" spans="3:3">
      <c r="C5469"/>
    </row>
    <row r="5470" spans="3:3">
      <c r="C5470"/>
    </row>
    <row r="5471" spans="3:3">
      <c r="C5471"/>
    </row>
    <row r="5472" spans="3:3">
      <c r="C5472"/>
    </row>
    <row r="5473" spans="3:3">
      <c r="C5473"/>
    </row>
    <row r="5474" spans="3:3">
      <c r="C5474"/>
    </row>
    <row r="5475" spans="3:3">
      <c r="C5475"/>
    </row>
    <row r="5476" spans="3:3">
      <c r="C5476"/>
    </row>
    <row r="5477" spans="3:3">
      <c r="C5477"/>
    </row>
    <row r="5478" spans="3:3">
      <c r="C5478"/>
    </row>
    <row r="5479" spans="3:3">
      <c r="C5479"/>
    </row>
    <row r="5480" spans="3:3">
      <c r="C5480"/>
    </row>
    <row r="5481" spans="3:3">
      <c r="C5481"/>
    </row>
    <row r="5482" spans="3:3">
      <c r="C5482"/>
    </row>
    <row r="5483" spans="3:3">
      <c r="C5483"/>
    </row>
    <row r="5484" spans="3:3">
      <c r="C5484"/>
    </row>
    <row r="5485" spans="3:3">
      <c r="C5485"/>
    </row>
    <row r="5486" spans="3:3">
      <c r="C5486"/>
    </row>
    <row r="5487" spans="3:3">
      <c r="C5487"/>
    </row>
    <row r="5488" spans="3:3">
      <c r="C5488"/>
    </row>
    <row r="5489" spans="3:3">
      <c r="C5489"/>
    </row>
    <row r="5490" spans="3:3">
      <c r="C5490"/>
    </row>
    <row r="5491" spans="3:3">
      <c r="C5491"/>
    </row>
    <row r="5492" spans="3:3">
      <c r="C5492"/>
    </row>
    <row r="5493" spans="3:3">
      <c r="C5493"/>
    </row>
    <row r="5494" spans="3:3">
      <c r="C5494"/>
    </row>
    <row r="5495" spans="3:3">
      <c r="C5495"/>
    </row>
    <row r="5496" spans="3:3">
      <c r="C5496"/>
    </row>
    <row r="5497" spans="3:3">
      <c r="C5497"/>
    </row>
    <row r="5498" spans="3:3">
      <c r="C5498"/>
    </row>
    <row r="5499" spans="3:3">
      <c r="C5499"/>
    </row>
    <row r="5500" spans="3:3">
      <c r="C5500"/>
    </row>
    <row r="5501" spans="3:3">
      <c r="C5501"/>
    </row>
    <row r="5502" spans="3:3">
      <c r="C5502"/>
    </row>
    <row r="5503" spans="3:3">
      <c r="C5503"/>
    </row>
    <row r="5504" spans="3:3">
      <c r="C5504"/>
    </row>
    <row r="5505" spans="3:3">
      <c r="C5505"/>
    </row>
    <row r="5506" spans="3:3">
      <c r="C5506"/>
    </row>
    <row r="5507" spans="3:3">
      <c r="C5507"/>
    </row>
    <row r="5508" spans="3:3">
      <c r="C5508"/>
    </row>
    <row r="5509" spans="3:3">
      <c r="C5509"/>
    </row>
    <row r="5510" spans="3:3">
      <c r="C5510"/>
    </row>
    <row r="5511" spans="3:3">
      <c r="C5511"/>
    </row>
    <row r="5512" spans="3:3">
      <c r="C5512"/>
    </row>
    <row r="5513" spans="3:3">
      <c r="C5513"/>
    </row>
    <row r="5514" spans="3:3">
      <c r="C5514"/>
    </row>
    <row r="5515" spans="3:3">
      <c r="C5515"/>
    </row>
    <row r="5516" spans="3:3">
      <c r="C5516"/>
    </row>
    <row r="5517" spans="3:3">
      <c r="C5517"/>
    </row>
    <row r="5518" spans="3:3">
      <c r="C5518"/>
    </row>
    <row r="5519" spans="3:3">
      <c r="C5519"/>
    </row>
    <row r="5520" spans="3:3">
      <c r="C5520"/>
    </row>
    <row r="5521" spans="3:3">
      <c r="C5521"/>
    </row>
    <row r="5522" spans="3:3">
      <c r="C5522"/>
    </row>
    <row r="5523" spans="3:3">
      <c r="C5523"/>
    </row>
    <row r="5524" spans="3:3">
      <c r="C5524"/>
    </row>
    <row r="5525" spans="3:3">
      <c r="C5525"/>
    </row>
    <row r="5526" spans="3:3">
      <c r="C5526"/>
    </row>
    <row r="5527" spans="3:3">
      <c r="C5527"/>
    </row>
    <row r="5528" spans="3:3">
      <c r="C5528"/>
    </row>
    <row r="5529" spans="3:3">
      <c r="C5529"/>
    </row>
    <row r="5530" spans="3:3">
      <c r="C5530"/>
    </row>
    <row r="5531" spans="3:3">
      <c r="C5531"/>
    </row>
    <row r="5532" spans="3:3">
      <c r="C5532"/>
    </row>
    <row r="5533" spans="3:3">
      <c r="C5533"/>
    </row>
    <row r="5534" spans="3:3">
      <c r="C5534"/>
    </row>
    <row r="5535" spans="3:3">
      <c r="C5535"/>
    </row>
    <row r="5536" spans="3:3">
      <c r="C5536"/>
    </row>
    <row r="5537" spans="3:3">
      <c r="C5537"/>
    </row>
    <row r="5538" spans="3:3">
      <c r="C5538"/>
    </row>
    <row r="5539" spans="3:3">
      <c r="C5539"/>
    </row>
    <row r="5540" spans="3:3">
      <c r="C5540"/>
    </row>
    <row r="5541" spans="3:3">
      <c r="C5541"/>
    </row>
    <row r="5542" spans="3:3">
      <c r="C5542"/>
    </row>
    <row r="5543" spans="3:3">
      <c r="C5543"/>
    </row>
    <row r="5544" spans="3:3">
      <c r="C5544"/>
    </row>
    <row r="5545" spans="3:3">
      <c r="C5545"/>
    </row>
    <row r="5546" spans="3:3">
      <c r="C5546"/>
    </row>
    <row r="5547" spans="3:3">
      <c r="C5547"/>
    </row>
    <row r="5548" spans="3:3">
      <c r="C5548"/>
    </row>
    <row r="5549" spans="3:3">
      <c r="C5549"/>
    </row>
    <row r="5550" spans="3:3">
      <c r="C5550"/>
    </row>
    <row r="5551" spans="3:3">
      <c r="C5551"/>
    </row>
    <row r="5552" spans="3:3">
      <c r="C5552"/>
    </row>
    <row r="5553" spans="3:3">
      <c r="C5553"/>
    </row>
    <row r="5554" spans="3:3">
      <c r="C5554"/>
    </row>
    <row r="5555" spans="3:3">
      <c r="C5555"/>
    </row>
    <row r="5556" spans="3:3">
      <c r="C5556"/>
    </row>
    <row r="5557" spans="3:3">
      <c r="C5557"/>
    </row>
    <row r="5558" spans="3:3">
      <c r="C5558"/>
    </row>
    <row r="5559" spans="3:3">
      <c r="C5559"/>
    </row>
    <row r="5560" spans="3:3">
      <c r="C5560"/>
    </row>
    <row r="5561" spans="3:3">
      <c r="C5561"/>
    </row>
    <row r="5562" spans="3:3">
      <c r="C5562"/>
    </row>
    <row r="5563" spans="3:3">
      <c r="C5563"/>
    </row>
    <row r="5564" spans="3:3">
      <c r="C5564"/>
    </row>
    <row r="5565" spans="3:3">
      <c r="C5565"/>
    </row>
    <row r="5566" spans="3:3">
      <c r="C5566"/>
    </row>
    <row r="5567" spans="3:3">
      <c r="C5567"/>
    </row>
    <row r="5568" spans="3:3">
      <c r="C5568"/>
    </row>
    <row r="5569" spans="3:3">
      <c r="C5569"/>
    </row>
    <row r="5570" spans="3:3">
      <c r="C5570"/>
    </row>
    <row r="5571" spans="3:3">
      <c r="C5571"/>
    </row>
    <row r="5572" spans="3:3">
      <c r="C5572"/>
    </row>
    <row r="5573" spans="3:3">
      <c r="C5573"/>
    </row>
    <row r="5574" spans="3:3">
      <c r="C5574"/>
    </row>
    <row r="5575" spans="3:3">
      <c r="C5575"/>
    </row>
    <row r="5576" spans="3:3">
      <c r="C5576"/>
    </row>
    <row r="5577" spans="3:3">
      <c r="C5577"/>
    </row>
    <row r="5578" spans="3:3">
      <c r="C5578"/>
    </row>
    <row r="5579" spans="3:3">
      <c r="C5579"/>
    </row>
    <row r="5580" spans="3:3">
      <c r="C5580"/>
    </row>
    <row r="5581" spans="3:3">
      <c r="C5581"/>
    </row>
    <row r="5582" spans="3:3">
      <c r="C5582"/>
    </row>
    <row r="5583" spans="3:3">
      <c r="C5583"/>
    </row>
    <row r="5584" spans="3:3">
      <c r="C5584"/>
    </row>
    <row r="5585" spans="3:3">
      <c r="C5585"/>
    </row>
    <row r="5586" spans="3:3">
      <c r="C5586"/>
    </row>
    <row r="5587" spans="3:3">
      <c r="C5587"/>
    </row>
    <row r="5588" spans="3:3">
      <c r="C5588"/>
    </row>
    <row r="5589" spans="3:3">
      <c r="C5589"/>
    </row>
    <row r="5590" spans="3:3">
      <c r="C5590"/>
    </row>
    <row r="5591" spans="3:3">
      <c r="C5591"/>
    </row>
    <row r="5592" spans="3:3">
      <c r="C5592"/>
    </row>
    <row r="5593" spans="3:3">
      <c r="C5593"/>
    </row>
    <row r="5594" spans="3:3">
      <c r="C5594"/>
    </row>
    <row r="5595" spans="3:3">
      <c r="C5595"/>
    </row>
    <row r="5596" spans="3:3">
      <c r="C5596"/>
    </row>
    <row r="5597" spans="3:3">
      <c r="C5597"/>
    </row>
    <row r="5598" spans="3:3">
      <c r="C5598"/>
    </row>
    <row r="5599" spans="3:3">
      <c r="C5599"/>
    </row>
    <row r="5600" spans="3:3">
      <c r="C5600"/>
    </row>
    <row r="5601" spans="3:3">
      <c r="C5601"/>
    </row>
    <row r="5602" spans="3:3">
      <c r="C5602"/>
    </row>
    <row r="5603" spans="3:3">
      <c r="C5603"/>
    </row>
    <row r="5604" spans="3:3">
      <c r="C5604"/>
    </row>
    <row r="5605" spans="3:3">
      <c r="C5605"/>
    </row>
    <row r="5606" spans="3:3">
      <c r="C5606"/>
    </row>
    <row r="5607" spans="3:3">
      <c r="C5607"/>
    </row>
    <row r="5608" spans="3:3">
      <c r="C5608"/>
    </row>
    <row r="5609" spans="3:3">
      <c r="C5609"/>
    </row>
    <row r="5610" spans="3:3">
      <c r="C5610"/>
    </row>
    <row r="5611" spans="3:3">
      <c r="C5611"/>
    </row>
    <row r="5612" spans="3:3">
      <c r="C5612"/>
    </row>
    <row r="5613" spans="3:3">
      <c r="C5613"/>
    </row>
    <row r="5614" spans="3:3">
      <c r="C5614"/>
    </row>
    <row r="5615" spans="3:3">
      <c r="C5615"/>
    </row>
    <row r="5616" spans="3:3">
      <c r="C5616"/>
    </row>
    <row r="5617" spans="3:3">
      <c r="C5617"/>
    </row>
    <row r="5618" spans="3:3">
      <c r="C5618"/>
    </row>
    <row r="5619" spans="3:3">
      <c r="C5619"/>
    </row>
    <row r="5620" spans="3:3">
      <c r="C5620"/>
    </row>
    <row r="5621" spans="3:3">
      <c r="C5621"/>
    </row>
    <row r="5622" spans="3:3">
      <c r="C5622"/>
    </row>
    <row r="5623" spans="3:3">
      <c r="C5623"/>
    </row>
    <row r="5624" spans="3:3">
      <c r="C5624"/>
    </row>
    <row r="5625" spans="3:3">
      <c r="C5625"/>
    </row>
    <row r="5626" spans="3:3">
      <c r="C5626"/>
    </row>
    <row r="5627" spans="3:3">
      <c r="C5627"/>
    </row>
    <row r="5628" spans="3:3">
      <c r="C5628"/>
    </row>
    <row r="5629" spans="3:3">
      <c r="C5629"/>
    </row>
    <row r="5630" spans="3:3">
      <c r="C5630"/>
    </row>
    <row r="5631" spans="3:3">
      <c r="C5631"/>
    </row>
    <row r="5632" spans="3:3">
      <c r="C5632"/>
    </row>
    <row r="5633" spans="3:3">
      <c r="C5633"/>
    </row>
    <row r="5634" spans="3:3">
      <c r="C5634"/>
    </row>
    <row r="5635" spans="3:3">
      <c r="C5635"/>
    </row>
    <row r="5636" spans="3:3">
      <c r="C5636"/>
    </row>
    <row r="5637" spans="3:3">
      <c r="C5637"/>
    </row>
    <row r="5638" spans="3:3">
      <c r="C5638"/>
    </row>
    <row r="5639" spans="3:3">
      <c r="C5639"/>
    </row>
    <row r="5640" spans="3:3">
      <c r="C5640"/>
    </row>
    <row r="5641" spans="3:3">
      <c r="C5641"/>
    </row>
    <row r="5642" spans="3:3">
      <c r="C5642"/>
    </row>
    <row r="5643" spans="3:3">
      <c r="C5643"/>
    </row>
    <row r="5644" spans="3:3">
      <c r="C5644"/>
    </row>
    <row r="5645" spans="3:3">
      <c r="C5645"/>
    </row>
    <row r="5646" spans="3:3">
      <c r="C5646"/>
    </row>
    <row r="5647" spans="3:3">
      <c r="C5647"/>
    </row>
    <row r="5648" spans="3:3">
      <c r="C5648"/>
    </row>
    <row r="5649" spans="3:3">
      <c r="C5649"/>
    </row>
    <row r="5650" spans="3:3">
      <c r="C5650"/>
    </row>
    <row r="5651" spans="3:3">
      <c r="C5651"/>
    </row>
    <row r="5652" spans="3:3">
      <c r="C5652"/>
    </row>
    <row r="5653" spans="3:3">
      <c r="C5653"/>
    </row>
    <row r="5654" spans="3:3">
      <c r="C5654"/>
    </row>
    <row r="5655" spans="3:3">
      <c r="C5655"/>
    </row>
    <row r="5656" spans="3:3">
      <c r="C5656"/>
    </row>
    <row r="5657" spans="3:3">
      <c r="C5657"/>
    </row>
    <row r="5658" spans="3:3">
      <c r="C5658"/>
    </row>
    <row r="5659" spans="3:3">
      <c r="C5659"/>
    </row>
    <row r="5660" spans="3:3">
      <c r="C5660"/>
    </row>
    <row r="5661" spans="3:3">
      <c r="C5661"/>
    </row>
    <row r="5662" spans="3:3">
      <c r="C5662"/>
    </row>
    <row r="5663" spans="3:3">
      <c r="C5663"/>
    </row>
    <row r="5664" spans="3:3">
      <c r="C5664"/>
    </row>
    <row r="5665" spans="3:3">
      <c r="C5665"/>
    </row>
    <row r="5666" spans="3:3">
      <c r="C5666"/>
    </row>
    <row r="5667" spans="3:3">
      <c r="C5667"/>
    </row>
    <row r="5668" spans="3:3">
      <c r="C5668"/>
    </row>
    <row r="5669" spans="3:3">
      <c r="C5669"/>
    </row>
    <row r="5670" spans="3:3">
      <c r="C5670"/>
    </row>
    <row r="5671" spans="3:3">
      <c r="C5671"/>
    </row>
    <row r="5672" spans="3:3">
      <c r="C5672"/>
    </row>
    <row r="5673" spans="3:3">
      <c r="C5673"/>
    </row>
    <row r="5674" spans="3:3">
      <c r="C5674"/>
    </row>
    <row r="5675" spans="3:3">
      <c r="C5675"/>
    </row>
    <row r="5676" spans="3:3">
      <c r="C5676"/>
    </row>
    <row r="5677" spans="3:3">
      <c r="C5677"/>
    </row>
    <row r="5678" spans="3:3">
      <c r="C5678"/>
    </row>
    <row r="5679" spans="3:3">
      <c r="C5679"/>
    </row>
    <row r="5680" spans="3:3">
      <c r="C5680"/>
    </row>
    <row r="5681" spans="3:3">
      <c r="C5681"/>
    </row>
    <row r="5682" spans="3:3">
      <c r="C5682"/>
    </row>
    <row r="5683" spans="3:3">
      <c r="C5683"/>
    </row>
    <row r="5684" spans="3:3">
      <c r="C5684"/>
    </row>
    <row r="5685" spans="3:3">
      <c r="C5685"/>
    </row>
    <row r="5686" spans="3:3">
      <c r="C5686"/>
    </row>
    <row r="5687" spans="3:3">
      <c r="C5687"/>
    </row>
    <row r="5688" spans="3:3">
      <c r="C5688"/>
    </row>
    <row r="5689" spans="3:3">
      <c r="C5689"/>
    </row>
    <row r="5690" spans="3:3">
      <c r="C5690"/>
    </row>
    <row r="5691" spans="3:3">
      <c r="C5691"/>
    </row>
    <row r="5692" spans="3:3">
      <c r="C5692"/>
    </row>
    <row r="5693" spans="3:3">
      <c r="C5693"/>
    </row>
    <row r="5694" spans="3:3">
      <c r="C5694"/>
    </row>
    <row r="5695" spans="3:3">
      <c r="C5695"/>
    </row>
    <row r="5696" spans="3:3">
      <c r="C5696"/>
    </row>
    <row r="5697" spans="3:3">
      <c r="C5697"/>
    </row>
    <row r="5698" spans="3:3">
      <c r="C5698"/>
    </row>
    <row r="5699" spans="3:3">
      <c r="C5699"/>
    </row>
    <row r="5700" spans="3:3">
      <c r="C5700"/>
    </row>
    <row r="5701" spans="3:3">
      <c r="C5701"/>
    </row>
    <row r="5702" spans="3:3">
      <c r="C5702"/>
    </row>
    <row r="5703" spans="3:3">
      <c r="C5703"/>
    </row>
    <row r="5704" spans="3:3">
      <c r="C5704"/>
    </row>
    <row r="5705" spans="3:3">
      <c r="C5705"/>
    </row>
    <row r="5706" spans="3:3">
      <c r="C5706"/>
    </row>
    <row r="5707" spans="3:3">
      <c r="C5707"/>
    </row>
    <row r="5708" spans="3:3">
      <c r="C5708"/>
    </row>
    <row r="5709" spans="3:3">
      <c r="C5709"/>
    </row>
    <row r="5710" spans="3:3">
      <c r="C5710"/>
    </row>
    <row r="5711" spans="3:3">
      <c r="C5711"/>
    </row>
    <row r="5712" spans="3:3">
      <c r="C5712"/>
    </row>
    <row r="5713" spans="3:3">
      <c r="C5713"/>
    </row>
    <row r="5714" spans="3:3">
      <c r="C5714"/>
    </row>
    <row r="5715" spans="3:3">
      <c r="C5715"/>
    </row>
    <row r="5716" spans="3:3">
      <c r="C5716"/>
    </row>
    <row r="5717" spans="3:3">
      <c r="C5717"/>
    </row>
    <row r="5718" spans="3:3">
      <c r="C5718"/>
    </row>
    <row r="5719" spans="3:3">
      <c r="C5719"/>
    </row>
    <row r="5720" spans="3:3">
      <c r="C5720"/>
    </row>
    <row r="5721" spans="3:3">
      <c r="C5721"/>
    </row>
    <row r="5722" spans="3:3">
      <c r="C5722"/>
    </row>
    <row r="5723" spans="3:3">
      <c r="C5723"/>
    </row>
    <row r="5724" spans="3:3">
      <c r="C5724"/>
    </row>
    <row r="5725" spans="3:3">
      <c r="C5725"/>
    </row>
    <row r="5726" spans="3:3">
      <c r="C5726"/>
    </row>
    <row r="5727" spans="3:3">
      <c r="C5727"/>
    </row>
    <row r="5728" spans="3:3">
      <c r="C5728"/>
    </row>
    <row r="5729" spans="3:3">
      <c r="C5729"/>
    </row>
    <row r="5730" spans="3:3">
      <c r="C5730"/>
    </row>
    <row r="5731" spans="3:3">
      <c r="C5731"/>
    </row>
    <row r="5732" spans="3:3">
      <c r="C5732"/>
    </row>
    <row r="5733" spans="3:3">
      <c r="C5733"/>
    </row>
    <row r="5734" spans="3:3">
      <c r="C5734"/>
    </row>
    <row r="5735" spans="3:3">
      <c r="C5735"/>
    </row>
    <row r="5736" spans="3:3">
      <c r="C5736"/>
    </row>
    <row r="5737" spans="3:3">
      <c r="C5737"/>
    </row>
    <row r="5738" spans="3:3">
      <c r="C5738"/>
    </row>
    <row r="5739" spans="3:3">
      <c r="C5739"/>
    </row>
    <row r="5740" spans="3:3">
      <c r="C5740"/>
    </row>
    <row r="5741" spans="3:3">
      <c r="C5741"/>
    </row>
    <row r="5742" spans="3:3">
      <c r="C5742"/>
    </row>
    <row r="5743" spans="3:3">
      <c r="C5743"/>
    </row>
    <row r="5744" spans="3:3">
      <c r="C5744"/>
    </row>
    <row r="5745" spans="3:3">
      <c r="C5745"/>
    </row>
    <row r="5746" spans="3:3">
      <c r="C5746"/>
    </row>
    <row r="5747" spans="3:3">
      <c r="C5747"/>
    </row>
    <row r="5748" spans="3:3">
      <c r="C5748"/>
    </row>
    <row r="5749" spans="3:3">
      <c r="C5749"/>
    </row>
    <row r="5750" spans="3:3">
      <c r="C5750"/>
    </row>
    <row r="5751" spans="3:3">
      <c r="C5751"/>
    </row>
    <row r="5752" spans="3:3">
      <c r="C5752"/>
    </row>
    <row r="5753" spans="3:3">
      <c r="C5753"/>
    </row>
    <row r="5754" spans="3:3">
      <c r="C5754"/>
    </row>
    <row r="5755" spans="3:3">
      <c r="C5755"/>
    </row>
    <row r="5756" spans="3:3">
      <c r="C5756"/>
    </row>
    <row r="5757" spans="3:3">
      <c r="C5757"/>
    </row>
    <row r="5758" spans="3:3">
      <c r="C5758"/>
    </row>
    <row r="5759" spans="3:3">
      <c r="C5759"/>
    </row>
    <row r="5760" spans="3:3">
      <c r="C5760"/>
    </row>
    <row r="5761" spans="3:3">
      <c r="C5761"/>
    </row>
    <row r="5762" spans="3:3">
      <c r="C5762"/>
    </row>
    <row r="5763" spans="3:3">
      <c r="C5763"/>
    </row>
    <row r="5764" spans="3:3">
      <c r="C5764"/>
    </row>
    <row r="5765" spans="3:3">
      <c r="C5765"/>
    </row>
    <row r="5766" spans="3:3">
      <c r="C5766"/>
    </row>
    <row r="5767" spans="3:3">
      <c r="C5767"/>
    </row>
    <row r="5768" spans="3:3">
      <c r="C5768"/>
    </row>
    <row r="5769" spans="3:3">
      <c r="C5769"/>
    </row>
    <row r="5770" spans="3:3">
      <c r="C5770"/>
    </row>
    <row r="5771" spans="3:3">
      <c r="C5771"/>
    </row>
    <row r="5772" spans="3:3">
      <c r="C5772"/>
    </row>
    <row r="5773" spans="3:3">
      <c r="C5773"/>
    </row>
    <row r="5774" spans="3:3">
      <c r="C5774"/>
    </row>
    <row r="5775" spans="3:3">
      <c r="C5775"/>
    </row>
    <row r="5776" spans="3:3">
      <c r="C5776"/>
    </row>
    <row r="5777" spans="3:3">
      <c r="C5777"/>
    </row>
    <row r="5778" spans="3:3">
      <c r="C5778"/>
    </row>
    <row r="5779" spans="3:3">
      <c r="C5779"/>
    </row>
    <row r="5780" spans="3:3">
      <c r="C5780"/>
    </row>
    <row r="5781" spans="3:3">
      <c r="C5781"/>
    </row>
    <row r="5782" spans="3:3">
      <c r="C5782"/>
    </row>
    <row r="5783" spans="3:3">
      <c r="C5783"/>
    </row>
    <row r="5784" spans="3:3">
      <c r="C5784"/>
    </row>
    <row r="5785" spans="3:3">
      <c r="C5785"/>
    </row>
    <row r="5786" spans="3:3">
      <c r="C5786"/>
    </row>
    <row r="5787" spans="3:3">
      <c r="C5787"/>
    </row>
    <row r="5788" spans="3:3">
      <c r="C5788"/>
    </row>
    <row r="5789" spans="3:3">
      <c r="C5789"/>
    </row>
    <row r="5790" spans="3:3">
      <c r="C5790"/>
    </row>
    <row r="5791" spans="3:3">
      <c r="C5791"/>
    </row>
    <row r="5792" spans="3:3">
      <c r="C5792"/>
    </row>
    <row r="5793" spans="3:3">
      <c r="C5793"/>
    </row>
    <row r="5794" spans="3:3">
      <c r="C5794"/>
    </row>
    <row r="5795" spans="3:3">
      <c r="C5795"/>
    </row>
    <row r="5796" spans="3:3">
      <c r="C5796"/>
    </row>
    <row r="5797" spans="3:3">
      <c r="C5797"/>
    </row>
    <row r="5798" spans="3:3">
      <c r="C5798"/>
    </row>
    <row r="5799" spans="3:3">
      <c r="C5799"/>
    </row>
    <row r="5800" spans="3:3">
      <c r="C5800"/>
    </row>
    <row r="5801" spans="3:3">
      <c r="C5801"/>
    </row>
    <row r="5802" spans="3:3">
      <c r="C5802"/>
    </row>
    <row r="5803" spans="3:3">
      <c r="C5803"/>
    </row>
    <row r="5804" spans="3:3">
      <c r="C5804"/>
    </row>
    <row r="5805" spans="3:3">
      <c r="C5805"/>
    </row>
    <row r="5806" spans="3:3">
      <c r="C5806"/>
    </row>
    <row r="5807" spans="3:3">
      <c r="C5807"/>
    </row>
    <row r="5808" spans="3:3">
      <c r="C5808"/>
    </row>
    <row r="5809" spans="3:3">
      <c r="C5809"/>
    </row>
    <row r="5810" spans="3:3">
      <c r="C5810"/>
    </row>
    <row r="5811" spans="3:3">
      <c r="C5811"/>
    </row>
    <row r="5812" spans="3:3">
      <c r="C5812"/>
    </row>
    <row r="5813" spans="3:3">
      <c r="C5813"/>
    </row>
    <row r="5814" spans="3:3">
      <c r="C5814"/>
    </row>
    <row r="5815" spans="3:3">
      <c r="C5815"/>
    </row>
    <row r="5816" spans="3:3">
      <c r="C5816"/>
    </row>
    <row r="5817" spans="3:3">
      <c r="C5817"/>
    </row>
    <row r="5818" spans="3:3">
      <c r="C5818"/>
    </row>
    <row r="5819" spans="3:3">
      <c r="C5819"/>
    </row>
    <row r="5820" spans="3:3">
      <c r="C5820"/>
    </row>
    <row r="5821" spans="3:3">
      <c r="C5821"/>
    </row>
    <row r="5822" spans="3:3">
      <c r="C5822"/>
    </row>
    <row r="5823" spans="3:3">
      <c r="C5823"/>
    </row>
    <row r="5824" spans="3:3">
      <c r="C5824"/>
    </row>
    <row r="5825" spans="3:3">
      <c r="C5825"/>
    </row>
    <row r="5826" spans="3:3">
      <c r="C5826"/>
    </row>
    <row r="5827" spans="3:3">
      <c r="C5827"/>
    </row>
    <row r="5828" spans="3:3">
      <c r="C5828"/>
    </row>
    <row r="5829" spans="3:3">
      <c r="C5829"/>
    </row>
    <row r="5830" spans="3:3">
      <c r="C5830"/>
    </row>
    <row r="5831" spans="3:3">
      <c r="C5831"/>
    </row>
    <row r="5832" spans="3:3">
      <c r="C5832"/>
    </row>
    <row r="5833" spans="3:3">
      <c r="C5833"/>
    </row>
    <row r="5834" spans="3:3">
      <c r="C5834"/>
    </row>
    <row r="5835" spans="3:3">
      <c r="C5835"/>
    </row>
    <row r="5836" spans="3:3">
      <c r="C5836"/>
    </row>
    <row r="5837" spans="3:3">
      <c r="C5837"/>
    </row>
    <row r="5838" spans="3:3">
      <c r="C5838"/>
    </row>
    <row r="5839" spans="3:3">
      <c r="C5839"/>
    </row>
    <row r="5840" spans="3:3">
      <c r="C5840"/>
    </row>
    <row r="5841" spans="3:3">
      <c r="C5841"/>
    </row>
    <row r="5842" spans="3:3">
      <c r="C5842"/>
    </row>
    <row r="5843" spans="3:3">
      <c r="C5843"/>
    </row>
    <row r="5844" spans="3:3">
      <c r="C5844"/>
    </row>
    <row r="5845" spans="3:3">
      <c r="C5845"/>
    </row>
    <row r="5846" spans="3:3">
      <c r="C5846"/>
    </row>
    <row r="5847" spans="3:3">
      <c r="C5847"/>
    </row>
    <row r="5848" spans="3:3">
      <c r="C5848"/>
    </row>
    <row r="5849" spans="3:3">
      <c r="C5849"/>
    </row>
    <row r="5850" spans="3:3">
      <c r="C5850"/>
    </row>
    <row r="5851" spans="3:3">
      <c r="C5851"/>
    </row>
    <row r="5852" spans="3:3">
      <c r="C5852"/>
    </row>
    <row r="5853" spans="3:3">
      <c r="C5853"/>
    </row>
    <row r="5854" spans="3:3">
      <c r="C5854"/>
    </row>
    <row r="5855" spans="3:3">
      <c r="C5855"/>
    </row>
    <row r="5856" spans="3:3">
      <c r="C5856"/>
    </row>
    <row r="5857" spans="3:3">
      <c r="C5857"/>
    </row>
    <row r="5858" spans="3:3">
      <c r="C5858"/>
    </row>
    <row r="5859" spans="3:3">
      <c r="C5859"/>
    </row>
    <row r="5860" spans="3:3">
      <c r="C5860"/>
    </row>
    <row r="5861" spans="3:3">
      <c r="C5861"/>
    </row>
    <row r="5862" spans="3:3">
      <c r="C5862"/>
    </row>
    <row r="5863" spans="3:3">
      <c r="C5863"/>
    </row>
    <row r="5864" spans="3:3">
      <c r="C5864"/>
    </row>
    <row r="5865" spans="3:3">
      <c r="C5865"/>
    </row>
    <row r="5866" spans="3:3">
      <c r="C5866"/>
    </row>
    <row r="5867" spans="3:3">
      <c r="C5867"/>
    </row>
    <row r="5868" spans="3:3">
      <c r="C5868"/>
    </row>
    <row r="5869" spans="3:3">
      <c r="C5869"/>
    </row>
    <row r="5870" spans="3:3">
      <c r="C5870"/>
    </row>
    <row r="5871" spans="3:3">
      <c r="C5871"/>
    </row>
    <row r="5872" spans="3:3">
      <c r="C5872"/>
    </row>
    <row r="5873" spans="3:3">
      <c r="C5873"/>
    </row>
    <row r="5874" spans="3:3">
      <c r="C5874"/>
    </row>
    <row r="5875" spans="3:3">
      <c r="C5875"/>
    </row>
    <row r="5876" spans="3:3">
      <c r="C5876"/>
    </row>
    <row r="5877" spans="3:3">
      <c r="C5877"/>
    </row>
    <row r="5878" spans="3:3">
      <c r="C5878"/>
    </row>
    <row r="5879" spans="3:3">
      <c r="C5879"/>
    </row>
    <row r="5880" spans="3:3">
      <c r="C5880"/>
    </row>
    <row r="5881" spans="3:3">
      <c r="C5881"/>
    </row>
    <row r="5882" spans="3:3">
      <c r="C5882"/>
    </row>
    <row r="5883" spans="3:3">
      <c r="C5883"/>
    </row>
    <row r="5884" spans="3:3">
      <c r="C5884"/>
    </row>
    <row r="5885" spans="3:3">
      <c r="C5885"/>
    </row>
    <row r="5886" spans="3:3">
      <c r="C5886"/>
    </row>
    <row r="5887" spans="3:3">
      <c r="C5887"/>
    </row>
    <row r="5888" spans="3:3">
      <c r="C5888"/>
    </row>
    <row r="5889" spans="3:3">
      <c r="C5889"/>
    </row>
    <row r="5890" spans="3:3">
      <c r="C5890"/>
    </row>
    <row r="5891" spans="3:3">
      <c r="C5891"/>
    </row>
    <row r="5892" spans="3:3">
      <c r="C5892"/>
    </row>
    <row r="5893" spans="3:3">
      <c r="C5893"/>
    </row>
    <row r="5894" spans="3:3">
      <c r="C5894"/>
    </row>
    <row r="5895" spans="3:3">
      <c r="C5895"/>
    </row>
    <row r="5896" spans="3:3">
      <c r="C5896"/>
    </row>
    <row r="5897" spans="3:3">
      <c r="C5897"/>
    </row>
    <row r="5898" spans="3:3">
      <c r="C5898"/>
    </row>
    <row r="5899" spans="3:3">
      <c r="C5899"/>
    </row>
    <row r="5900" spans="3:3">
      <c r="C5900"/>
    </row>
    <row r="5901" spans="3:3">
      <c r="C5901"/>
    </row>
    <row r="5902" spans="3:3">
      <c r="C5902"/>
    </row>
    <row r="5903" spans="3:3">
      <c r="C5903"/>
    </row>
    <row r="5904" spans="3:3">
      <c r="C5904"/>
    </row>
    <row r="5905" spans="3:3">
      <c r="C5905"/>
    </row>
    <row r="5906" spans="3:3">
      <c r="C5906"/>
    </row>
    <row r="5907" spans="3:3">
      <c r="C5907"/>
    </row>
    <row r="5908" spans="3:3">
      <c r="C5908"/>
    </row>
    <row r="5909" spans="3:3">
      <c r="C5909"/>
    </row>
    <row r="5910" spans="3:3">
      <c r="C5910"/>
    </row>
    <row r="5911" spans="3:3">
      <c r="C5911"/>
    </row>
    <row r="5912" spans="3:3">
      <c r="C5912"/>
    </row>
    <row r="5913" spans="3:3">
      <c r="C5913"/>
    </row>
    <row r="5914" spans="3:3">
      <c r="C5914"/>
    </row>
    <row r="5915" spans="3:3">
      <c r="C5915"/>
    </row>
    <row r="5916" spans="3:3">
      <c r="C5916"/>
    </row>
    <row r="5917" spans="3:3">
      <c r="C5917"/>
    </row>
    <row r="5918" spans="3:3">
      <c r="C5918"/>
    </row>
    <row r="5919" spans="3:3">
      <c r="C5919"/>
    </row>
    <row r="5920" spans="3:3">
      <c r="C5920"/>
    </row>
    <row r="5921" spans="3:3">
      <c r="C5921"/>
    </row>
    <row r="5922" spans="3:3">
      <c r="C5922"/>
    </row>
    <row r="5923" spans="3:3">
      <c r="C5923"/>
    </row>
    <row r="5924" spans="3:3">
      <c r="C5924"/>
    </row>
    <row r="5925" spans="3:3">
      <c r="C5925"/>
    </row>
    <row r="5926" spans="3:3">
      <c r="C5926"/>
    </row>
    <row r="5927" spans="3:3">
      <c r="C5927"/>
    </row>
    <row r="5928" spans="3:3">
      <c r="C5928"/>
    </row>
    <row r="5929" spans="3:3">
      <c r="C5929"/>
    </row>
    <row r="5930" spans="3:3">
      <c r="C5930"/>
    </row>
    <row r="5931" spans="3:3">
      <c r="C5931"/>
    </row>
    <row r="5932" spans="3:3">
      <c r="C5932"/>
    </row>
    <row r="5933" spans="3:3">
      <c r="C5933"/>
    </row>
    <row r="5934" spans="3:3">
      <c r="C5934"/>
    </row>
    <row r="5935" spans="3:3">
      <c r="C5935"/>
    </row>
    <row r="5936" spans="3:3">
      <c r="C5936"/>
    </row>
    <row r="5937" spans="3:3">
      <c r="C5937"/>
    </row>
    <row r="5938" spans="3:3">
      <c r="C5938"/>
    </row>
    <row r="5939" spans="3:3">
      <c r="C5939"/>
    </row>
    <row r="5940" spans="3:3">
      <c r="C5940"/>
    </row>
    <row r="5941" spans="3:3">
      <c r="C5941"/>
    </row>
    <row r="5942" spans="3:3">
      <c r="C5942"/>
    </row>
    <row r="5943" spans="3:3">
      <c r="C5943"/>
    </row>
    <row r="5944" spans="3:3">
      <c r="C5944"/>
    </row>
    <row r="5945" spans="3:3">
      <c r="C5945"/>
    </row>
    <row r="5946" spans="3:3">
      <c r="C5946"/>
    </row>
    <row r="5947" spans="3:3">
      <c r="C5947"/>
    </row>
    <row r="5948" spans="3:3">
      <c r="C5948"/>
    </row>
    <row r="5949" spans="3:3">
      <c r="C5949"/>
    </row>
    <row r="5950" spans="3:3">
      <c r="C5950"/>
    </row>
    <row r="5951" spans="3:3">
      <c r="C5951"/>
    </row>
    <row r="5952" spans="3:3">
      <c r="C5952"/>
    </row>
    <row r="5953" spans="3:3">
      <c r="C5953"/>
    </row>
    <row r="5954" spans="3:3">
      <c r="C5954"/>
    </row>
    <row r="5955" spans="3:3">
      <c r="C5955"/>
    </row>
    <row r="5956" spans="3:3">
      <c r="C5956"/>
    </row>
    <row r="5957" spans="3:3">
      <c r="C5957"/>
    </row>
    <row r="5958" spans="3:3">
      <c r="C5958"/>
    </row>
    <row r="5959" spans="3:3">
      <c r="C5959"/>
    </row>
    <row r="5960" spans="3:3">
      <c r="C5960"/>
    </row>
    <row r="5961" spans="3:3">
      <c r="C5961"/>
    </row>
    <row r="5962" spans="3:3">
      <c r="C5962"/>
    </row>
    <row r="5963" spans="3:3">
      <c r="C5963"/>
    </row>
    <row r="5964" spans="3:3">
      <c r="C5964"/>
    </row>
    <row r="5965" spans="3:3">
      <c r="C5965"/>
    </row>
    <row r="5966" spans="3:3">
      <c r="C5966"/>
    </row>
    <row r="5967" spans="3:3">
      <c r="C5967"/>
    </row>
    <row r="5968" spans="3:3">
      <c r="C5968"/>
    </row>
    <row r="5969" spans="3:3">
      <c r="C5969"/>
    </row>
    <row r="5970" spans="3:3">
      <c r="C5970"/>
    </row>
    <row r="5971" spans="3:3">
      <c r="C5971"/>
    </row>
    <row r="5972" spans="3:3">
      <c r="C5972"/>
    </row>
    <row r="5973" spans="3:3">
      <c r="C5973"/>
    </row>
    <row r="5974" spans="3:3">
      <c r="C5974"/>
    </row>
    <row r="5975" spans="3:3">
      <c r="C5975"/>
    </row>
    <row r="5976" spans="3:3">
      <c r="C5976"/>
    </row>
    <row r="5977" spans="3:3">
      <c r="C5977"/>
    </row>
    <row r="5978" spans="3:3">
      <c r="C5978"/>
    </row>
    <row r="5979" spans="3:3">
      <c r="C5979"/>
    </row>
    <row r="5980" spans="3:3">
      <c r="C5980"/>
    </row>
    <row r="5981" spans="3:3">
      <c r="C5981"/>
    </row>
    <row r="5982" spans="3:3">
      <c r="C5982"/>
    </row>
    <row r="5983" spans="3:3">
      <c r="C5983"/>
    </row>
    <row r="5984" spans="3:3">
      <c r="C5984"/>
    </row>
    <row r="5985" spans="3:3">
      <c r="C5985"/>
    </row>
    <row r="5986" spans="3:3">
      <c r="C5986"/>
    </row>
    <row r="5987" spans="3:3">
      <c r="C5987"/>
    </row>
    <row r="5988" spans="3:3">
      <c r="C5988"/>
    </row>
    <row r="5989" spans="3:3">
      <c r="C5989"/>
    </row>
    <row r="5990" spans="3:3">
      <c r="C5990"/>
    </row>
    <row r="5991" spans="3:3">
      <c r="C5991"/>
    </row>
    <row r="5992" spans="3:3">
      <c r="C5992"/>
    </row>
    <row r="5993" spans="3:3">
      <c r="C5993"/>
    </row>
    <row r="5994" spans="3:3">
      <c r="C5994"/>
    </row>
    <row r="5995" spans="3:3">
      <c r="C5995"/>
    </row>
    <row r="5996" spans="3:3">
      <c r="C5996"/>
    </row>
    <row r="5997" spans="3:3">
      <c r="C5997"/>
    </row>
    <row r="5998" spans="3:3">
      <c r="C5998"/>
    </row>
    <row r="5999" spans="3:3">
      <c r="C5999"/>
    </row>
    <row r="6000" spans="3:3">
      <c r="C6000"/>
    </row>
    <row r="6001" spans="3:3">
      <c r="C6001"/>
    </row>
    <row r="6002" spans="3:3">
      <c r="C6002"/>
    </row>
    <row r="6003" spans="3:3">
      <c r="C6003"/>
    </row>
    <row r="6004" spans="3:3">
      <c r="C6004"/>
    </row>
    <row r="6005" spans="3:3">
      <c r="C6005"/>
    </row>
    <row r="6006" spans="3:3">
      <c r="C6006"/>
    </row>
    <row r="6007" spans="3:3">
      <c r="C6007"/>
    </row>
    <row r="6008" spans="3:3">
      <c r="C6008"/>
    </row>
    <row r="6009" spans="3:3">
      <c r="C6009"/>
    </row>
    <row r="6010" spans="3:3">
      <c r="C6010"/>
    </row>
    <row r="6011" spans="3:3">
      <c r="C6011"/>
    </row>
    <row r="6012" spans="3:3">
      <c r="C6012"/>
    </row>
    <row r="6013" spans="3:3">
      <c r="C6013"/>
    </row>
    <row r="6014" spans="3:3">
      <c r="C6014"/>
    </row>
    <row r="6015" spans="3:3">
      <c r="C6015"/>
    </row>
    <row r="6016" spans="3:3">
      <c r="C6016"/>
    </row>
    <row r="6017" spans="3:3">
      <c r="C6017"/>
    </row>
    <row r="6018" spans="3:3">
      <c r="C6018"/>
    </row>
    <row r="6019" spans="3:3">
      <c r="C6019"/>
    </row>
    <row r="6020" spans="3:3">
      <c r="C6020"/>
    </row>
    <row r="6021" spans="3:3">
      <c r="C6021"/>
    </row>
    <row r="6022" spans="3:3">
      <c r="C6022"/>
    </row>
    <row r="6023" spans="3:3">
      <c r="C6023"/>
    </row>
    <row r="6024" spans="3:3">
      <c r="C6024"/>
    </row>
    <row r="6025" spans="3:3">
      <c r="C6025"/>
    </row>
    <row r="6026" spans="3:3">
      <c r="C6026"/>
    </row>
    <row r="6027" spans="3:3">
      <c r="C6027"/>
    </row>
    <row r="6028" spans="3:3">
      <c r="C6028"/>
    </row>
    <row r="6029" spans="3:3">
      <c r="C6029"/>
    </row>
    <row r="6030" spans="3:3">
      <c r="C6030"/>
    </row>
    <row r="6031" spans="3:3">
      <c r="C6031"/>
    </row>
    <row r="6032" spans="3:3">
      <c r="C6032"/>
    </row>
    <row r="6033" spans="3:3">
      <c r="C6033"/>
    </row>
    <row r="6034" spans="3:3">
      <c r="C6034"/>
    </row>
    <row r="6035" spans="3:3">
      <c r="C6035"/>
    </row>
    <row r="6036" spans="3:3">
      <c r="C6036"/>
    </row>
    <row r="6037" spans="3:3">
      <c r="C6037"/>
    </row>
    <row r="6038" spans="3:3">
      <c r="C6038"/>
    </row>
    <row r="6039" spans="3:3">
      <c r="C6039"/>
    </row>
    <row r="6040" spans="3:3">
      <c r="C6040"/>
    </row>
    <row r="6041" spans="3:3">
      <c r="C6041"/>
    </row>
    <row r="6042" spans="3:3">
      <c r="C6042"/>
    </row>
    <row r="6043" spans="3:3">
      <c r="C6043"/>
    </row>
    <row r="6044" spans="3:3">
      <c r="C6044"/>
    </row>
    <row r="6045" spans="3:3">
      <c r="C6045"/>
    </row>
    <row r="6046" spans="3:3">
      <c r="C6046"/>
    </row>
    <row r="6047" spans="3:3">
      <c r="C6047"/>
    </row>
    <row r="6048" spans="3:3">
      <c r="C6048"/>
    </row>
    <row r="6049" spans="3:3">
      <c r="C6049"/>
    </row>
    <row r="6050" spans="3:3">
      <c r="C6050"/>
    </row>
    <row r="6051" spans="3:3">
      <c r="C6051"/>
    </row>
    <row r="6052" spans="3:3">
      <c r="C6052"/>
    </row>
    <row r="6053" spans="3:3">
      <c r="C6053"/>
    </row>
    <row r="6054" spans="3:3">
      <c r="C6054"/>
    </row>
    <row r="6055" spans="3:3">
      <c r="C6055"/>
    </row>
    <row r="6056" spans="3:3">
      <c r="C6056"/>
    </row>
    <row r="6057" spans="3:3">
      <c r="C6057"/>
    </row>
    <row r="6058" spans="3:3">
      <c r="C6058"/>
    </row>
    <row r="6059" spans="3:3">
      <c r="C6059"/>
    </row>
    <row r="6060" spans="3:3">
      <c r="C6060"/>
    </row>
    <row r="6061" spans="3:3">
      <c r="C6061"/>
    </row>
    <row r="6062" spans="3:3">
      <c r="C6062"/>
    </row>
    <row r="6063" spans="3:3">
      <c r="C6063"/>
    </row>
    <row r="6064" spans="3:3">
      <c r="C6064"/>
    </row>
    <row r="6065" spans="3:3">
      <c r="C6065"/>
    </row>
    <row r="6066" spans="3:3">
      <c r="C6066"/>
    </row>
    <row r="6067" spans="3:3">
      <c r="C6067"/>
    </row>
    <row r="6068" spans="3:3">
      <c r="C6068"/>
    </row>
    <row r="6069" spans="3:3">
      <c r="C6069"/>
    </row>
    <row r="6070" spans="3:3">
      <c r="C6070"/>
    </row>
    <row r="6071" spans="3:3">
      <c r="C6071"/>
    </row>
    <row r="6072" spans="3:3">
      <c r="C6072"/>
    </row>
    <row r="6073" spans="3:3">
      <c r="C6073"/>
    </row>
    <row r="6074" spans="3:3">
      <c r="C6074"/>
    </row>
    <row r="6075" spans="3:3">
      <c r="C6075"/>
    </row>
    <row r="6076" spans="3:3">
      <c r="C6076"/>
    </row>
    <row r="6077" spans="3:3">
      <c r="C6077"/>
    </row>
    <row r="6078" spans="3:3">
      <c r="C6078"/>
    </row>
    <row r="6079" spans="3:3">
      <c r="C6079"/>
    </row>
    <row r="6080" spans="3:3">
      <c r="C6080"/>
    </row>
    <row r="6081" spans="3:3">
      <c r="C6081"/>
    </row>
    <row r="6082" spans="3:3">
      <c r="C6082"/>
    </row>
    <row r="6083" spans="3:3">
      <c r="C6083"/>
    </row>
    <row r="6084" spans="3:3">
      <c r="C6084"/>
    </row>
    <row r="6085" spans="3:3">
      <c r="C6085"/>
    </row>
    <row r="6086" spans="3:3">
      <c r="C6086"/>
    </row>
    <row r="6087" spans="3:3">
      <c r="C6087"/>
    </row>
    <row r="6088" spans="3:3">
      <c r="C6088"/>
    </row>
    <row r="6089" spans="3:3">
      <c r="C6089"/>
    </row>
    <row r="6090" spans="3:3">
      <c r="C6090"/>
    </row>
    <row r="6091" spans="3:3">
      <c r="C6091"/>
    </row>
    <row r="6092" spans="3:3">
      <c r="C6092"/>
    </row>
    <row r="6093" spans="3:3">
      <c r="C6093"/>
    </row>
    <row r="6094" spans="3:3">
      <c r="C6094"/>
    </row>
    <row r="6095" spans="3:3">
      <c r="C6095"/>
    </row>
    <row r="6096" spans="3:3">
      <c r="C6096"/>
    </row>
    <row r="6097" spans="3:3">
      <c r="C6097"/>
    </row>
    <row r="6098" spans="3:3">
      <c r="C6098"/>
    </row>
    <row r="6099" spans="3:3">
      <c r="C6099"/>
    </row>
    <row r="6100" spans="3:3">
      <c r="C6100"/>
    </row>
    <row r="6101" spans="3:3">
      <c r="C6101"/>
    </row>
    <row r="6102" spans="3:3">
      <c r="C6102"/>
    </row>
    <row r="6103" spans="3:3">
      <c r="C6103"/>
    </row>
    <row r="6104" spans="3:3">
      <c r="C6104"/>
    </row>
    <row r="6105" spans="3:3">
      <c r="C6105"/>
    </row>
    <row r="6106" spans="3:3">
      <c r="C6106"/>
    </row>
    <row r="6107" spans="3:3">
      <c r="C6107"/>
    </row>
    <row r="6108" spans="3:3">
      <c r="C6108"/>
    </row>
    <row r="6109" spans="3:3">
      <c r="C6109"/>
    </row>
    <row r="6110" spans="3:3">
      <c r="C6110"/>
    </row>
    <row r="6111" spans="3:3">
      <c r="C6111"/>
    </row>
    <row r="6112" spans="3:3">
      <c r="C6112"/>
    </row>
    <row r="6113" spans="3:3">
      <c r="C6113"/>
    </row>
    <row r="6114" spans="3:3">
      <c r="C6114"/>
    </row>
    <row r="6115" spans="3:3">
      <c r="C6115"/>
    </row>
    <row r="6116" spans="3:3">
      <c r="C6116"/>
    </row>
    <row r="6117" spans="3:3">
      <c r="C6117"/>
    </row>
    <row r="6118" spans="3:3">
      <c r="C6118"/>
    </row>
    <row r="6119" spans="3:3">
      <c r="C6119"/>
    </row>
    <row r="6120" spans="3:3">
      <c r="C6120"/>
    </row>
    <row r="6121" spans="3:3">
      <c r="C6121"/>
    </row>
    <row r="6122" spans="3:3">
      <c r="C6122"/>
    </row>
    <row r="6123" spans="3:3">
      <c r="C6123"/>
    </row>
    <row r="6124" spans="3:3">
      <c r="C6124"/>
    </row>
    <row r="6125" spans="3:3">
      <c r="C6125"/>
    </row>
    <row r="6126" spans="3:3">
      <c r="C6126"/>
    </row>
    <row r="6127" spans="3:3">
      <c r="C6127"/>
    </row>
    <row r="6128" spans="3:3">
      <c r="C6128"/>
    </row>
    <row r="6129" spans="3:3">
      <c r="C6129"/>
    </row>
    <row r="6130" spans="3:3">
      <c r="C6130"/>
    </row>
    <row r="6131" spans="3:3">
      <c r="C6131"/>
    </row>
    <row r="6132" spans="3:3">
      <c r="C6132"/>
    </row>
    <row r="6133" spans="3:3">
      <c r="C6133"/>
    </row>
    <row r="6134" spans="3:3">
      <c r="C6134"/>
    </row>
    <row r="6135" spans="3:3">
      <c r="C6135"/>
    </row>
    <row r="6136" spans="3:3">
      <c r="C6136"/>
    </row>
    <row r="6137" spans="3:3">
      <c r="C6137"/>
    </row>
    <row r="6138" spans="3:3">
      <c r="C6138"/>
    </row>
    <row r="6139" spans="3:3">
      <c r="C6139"/>
    </row>
    <row r="6140" spans="3:3">
      <c r="C6140"/>
    </row>
    <row r="6141" spans="3:3">
      <c r="C6141"/>
    </row>
    <row r="6142" spans="3:3">
      <c r="C6142"/>
    </row>
    <row r="6143" spans="3:3">
      <c r="C6143"/>
    </row>
    <row r="6144" spans="3:3">
      <c r="C6144"/>
    </row>
    <row r="6145" spans="3:3">
      <c r="C6145"/>
    </row>
    <row r="6146" spans="3:3">
      <c r="C6146"/>
    </row>
    <row r="6147" spans="3:3">
      <c r="C6147"/>
    </row>
    <row r="6148" spans="3:3">
      <c r="C6148"/>
    </row>
    <row r="6149" spans="3:3">
      <c r="C6149"/>
    </row>
    <row r="6150" spans="3:3">
      <c r="C6150"/>
    </row>
    <row r="6151" spans="3:3">
      <c r="C6151"/>
    </row>
    <row r="6152" spans="3:3">
      <c r="C6152"/>
    </row>
    <row r="6153" spans="3:3">
      <c r="C6153"/>
    </row>
    <row r="6154" spans="3:3">
      <c r="C6154"/>
    </row>
    <row r="6155" spans="3:3">
      <c r="C6155"/>
    </row>
    <row r="6156" spans="3:3">
      <c r="C6156"/>
    </row>
    <row r="6157" spans="3:3">
      <c r="C6157"/>
    </row>
    <row r="6158" spans="3:3">
      <c r="C6158"/>
    </row>
    <row r="6159" spans="3:3">
      <c r="C6159"/>
    </row>
    <row r="6160" spans="3:3">
      <c r="C6160"/>
    </row>
    <row r="6161" spans="3:3">
      <c r="C6161"/>
    </row>
    <row r="6162" spans="3:3">
      <c r="C6162"/>
    </row>
    <row r="6163" spans="3:3">
      <c r="C6163"/>
    </row>
    <row r="6164" spans="3:3">
      <c r="C6164"/>
    </row>
    <row r="6165" spans="3:3">
      <c r="C6165"/>
    </row>
    <row r="6166" spans="3:3">
      <c r="C6166"/>
    </row>
    <row r="6167" spans="3:3">
      <c r="C6167"/>
    </row>
    <row r="6168" spans="3:3">
      <c r="C6168"/>
    </row>
    <row r="6169" spans="3:3">
      <c r="C6169"/>
    </row>
    <row r="6170" spans="3:3">
      <c r="C6170"/>
    </row>
    <row r="6171" spans="3:3">
      <c r="C6171"/>
    </row>
    <row r="6172" spans="3:3">
      <c r="C6172"/>
    </row>
    <row r="6173" spans="3:3">
      <c r="C6173"/>
    </row>
    <row r="6174" spans="3:3">
      <c r="C6174"/>
    </row>
    <row r="6175" spans="3:3">
      <c r="C6175"/>
    </row>
    <row r="6176" spans="3:3">
      <c r="C6176"/>
    </row>
    <row r="6177" spans="3:3">
      <c r="C6177"/>
    </row>
    <row r="6178" spans="3:3">
      <c r="C6178"/>
    </row>
    <row r="6179" spans="3:3">
      <c r="C6179"/>
    </row>
    <row r="6180" spans="3:3">
      <c r="C6180"/>
    </row>
    <row r="6181" spans="3:3">
      <c r="C6181"/>
    </row>
    <row r="6182" spans="3:3">
      <c r="C6182"/>
    </row>
    <row r="6183" spans="3:3">
      <c r="C6183"/>
    </row>
    <row r="6184" spans="3:3">
      <c r="C6184"/>
    </row>
    <row r="6185" spans="3:3">
      <c r="C6185"/>
    </row>
    <row r="6186" spans="3:3">
      <c r="C6186"/>
    </row>
    <row r="6187" spans="3:3">
      <c r="C6187"/>
    </row>
    <row r="6188" spans="3:3">
      <c r="C6188"/>
    </row>
    <row r="6189" spans="3:3">
      <c r="C6189"/>
    </row>
    <row r="6190" spans="3:3">
      <c r="C6190"/>
    </row>
    <row r="6191" spans="3:3">
      <c r="C6191"/>
    </row>
    <row r="6192" spans="3:3">
      <c r="C6192"/>
    </row>
    <row r="6193" spans="3:3">
      <c r="C6193"/>
    </row>
    <row r="6194" spans="3:3">
      <c r="C6194"/>
    </row>
    <row r="6195" spans="3:3">
      <c r="C6195"/>
    </row>
    <row r="6196" spans="3:3">
      <c r="C6196"/>
    </row>
    <row r="6197" spans="3:3">
      <c r="C6197"/>
    </row>
    <row r="6198" spans="3:3">
      <c r="C6198"/>
    </row>
    <row r="6199" spans="3:3">
      <c r="C6199"/>
    </row>
    <row r="6200" spans="3:3">
      <c r="C6200"/>
    </row>
    <row r="6201" spans="3:3">
      <c r="C6201"/>
    </row>
    <row r="6202" spans="3:3">
      <c r="C6202"/>
    </row>
    <row r="6203" spans="3:3">
      <c r="C6203"/>
    </row>
    <row r="6204" spans="3:3">
      <c r="C6204"/>
    </row>
    <row r="6205" spans="3:3">
      <c r="C6205"/>
    </row>
    <row r="6206" spans="3:3">
      <c r="C6206"/>
    </row>
    <row r="6207" spans="3:3">
      <c r="C6207"/>
    </row>
    <row r="6208" spans="3:3">
      <c r="C6208"/>
    </row>
    <row r="6209" spans="3:3">
      <c r="C6209"/>
    </row>
    <row r="6210" spans="3:3">
      <c r="C6210"/>
    </row>
    <row r="6211" spans="3:3">
      <c r="C6211"/>
    </row>
    <row r="6212" spans="3:3">
      <c r="C6212"/>
    </row>
    <row r="6213" spans="3:3">
      <c r="C6213"/>
    </row>
    <row r="6214" spans="3:3">
      <c r="C6214"/>
    </row>
    <row r="6215" spans="3:3">
      <c r="C6215"/>
    </row>
    <row r="6216" spans="3:3">
      <c r="C6216"/>
    </row>
    <row r="6217" spans="3:3">
      <c r="C6217"/>
    </row>
    <row r="6218" spans="3:3">
      <c r="C6218"/>
    </row>
    <row r="6219" spans="3:3">
      <c r="C6219"/>
    </row>
    <row r="6220" spans="3:3">
      <c r="C6220"/>
    </row>
    <row r="6221" spans="3:3">
      <c r="C6221"/>
    </row>
    <row r="6222" spans="3:3">
      <c r="C6222"/>
    </row>
    <row r="6223" spans="3:3">
      <c r="C6223"/>
    </row>
    <row r="6224" spans="3:3">
      <c r="C6224"/>
    </row>
    <row r="6225" spans="3:3">
      <c r="C6225"/>
    </row>
    <row r="6226" spans="3:3">
      <c r="C6226"/>
    </row>
    <row r="6227" spans="3:3">
      <c r="C6227"/>
    </row>
    <row r="6228" spans="3:3">
      <c r="C6228"/>
    </row>
    <row r="6229" spans="3:3">
      <c r="C6229"/>
    </row>
    <row r="6230" spans="3:3">
      <c r="C6230"/>
    </row>
    <row r="6231" spans="3:3">
      <c r="C6231"/>
    </row>
    <row r="6232" spans="3:3">
      <c r="C6232"/>
    </row>
    <row r="6233" spans="3:3">
      <c r="C6233"/>
    </row>
    <row r="6234" spans="3:3">
      <c r="C6234"/>
    </row>
    <row r="6235" spans="3:3">
      <c r="C6235"/>
    </row>
    <row r="6236" spans="3:3">
      <c r="C6236"/>
    </row>
    <row r="6237" spans="3:3">
      <c r="C6237"/>
    </row>
    <row r="6238" spans="3:3">
      <c r="C6238"/>
    </row>
    <row r="6239" spans="3:3">
      <c r="C6239"/>
    </row>
    <row r="6240" spans="3:3">
      <c r="C6240"/>
    </row>
    <row r="6241" spans="3:3">
      <c r="C6241"/>
    </row>
    <row r="6242" spans="3:3">
      <c r="C6242"/>
    </row>
    <row r="6243" spans="3:3">
      <c r="C6243"/>
    </row>
    <row r="6244" spans="3:3">
      <c r="C6244"/>
    </row>
    <row r="6245" spans="3:3">
      <c r="C6245"/>
    </row>
    <row r="6246" spans="3:3">
      <c r="C6246"/>
    </row>
    <row r="6247" spans="3:3">
      <c r="C6247"/>
    </row>
    <row r="6248" spans="3:3">
      <c r="C6248"/>
    </row>
    <row r="6249" spans="3:3">
      <c r="C6249"/>
    </row>
    <row r="6250" spans="3:3">
      <c r="C6250"/>
    </row>
    <row r="6251" spans="3:3">
      <c r="C6251"/>
    </row>
    <row r="6252" spans="3:3">
      <c r="C6252"/>
    </row>
    <row r="6253" spans="3:3">
      <c r="C6253"/>
    </row>
    <row r="6254" spans="3:3">
      <c r="C6254"/>
    </row>
    <row r="6255" spans="3:3">
      <c r="C6255"/>
    </row>
    <row r="6256" spans="3:3">
      <c r="C6256"/>
    </row>
    <row r="6257" spans="3:3">
      <c r="C6257"/>
    </row>
    <row r="6258" spans="3:3">
      <c r="C6258"/>
    </row>
    <row r="6259" spans="3:3">
      <c r="C6259"/>
    </row>
    <row r="6260" spans="3:3">
      <c r="C6260"/>
    </row>
    <row r="6261" spans="3:3">
      <c r="C6261"/>
    </row>
    <row r="6262" spans="3:3">
      <c r="C6262"/>
    </row>
    <row r="6263" spans="3:3">
      <c r="C6263"/>
    </row>
    <row r="6264" spans="3:3">
      <c r="C6264"/>
    </row>
    <row r="6265" spans="3:3">
      <c r="C6265"/>
    </row>
    <row r="6266" spans="3:3">
      <c r="C6266"/>
    </row>
    <row r="6267" spans="3:3">
      <c r="C6267"/>
    </row>
    <row r="6268" spans="3:3">
      <c r="C6268"/>
    </row>
    <row r="6269" spans="3:3">
      <c r="C6269"/>
    </row>
    <row r="6270" spans="3:3">
      <c r="C6270"/>
    </row>
    <row r="6271" spans="3:3">
      <c r="C6271"/>
    </row>
    <row r="6272" spans="3:3">
      <c r="C6272"/>
    </row>
    <row r="6273" spans="3:3">
      <c r="C6273"/>
    </row>
    <row r="6274" spans="3:3">
      <c r="C6274"/>
    </row>
    <row r="6275" spans="3:3">
      <c r="C6275"/>
    </row>
    <row r="6276" spans="3:3">
      <c r="C6276"/>
    </row>
    <row r="6277" spans="3:3">
      <c r="C6277"/>
    </row>
    <row r="6278" spans="3:3">
      <c r="C6278"/>
    </row>
    <row r="6279" spans="3:3">
      <c r="C6279"/>
    </row>
    <row r="6280" spans="3:3">
      <c r="C6280"/>
    </row>
    <row r="6281" spans="3:3">
      <c r="C6281"/>
    </row>
    <row r="6282" spans="3:3">
      <c r="C6282"/>
    </row>
    <row r="6283" spans="3:3">
      <c r="C6283"/>
    </row>
    <row r="6284" spans="3:3">
      <c r="C6284"/>
    </row>
    <row r="6285" spans="3:3">
      <c r="C6285"/>
    </row>
    <row r="6286" spans="3:3">
      <c r="C6286"/>
    </row>
    <row r="6287" spans="3:3">
      <c r="C6287"/>
    </row>
    <row r="6288" spans="3:3">
      <c r="C6288"/>
    </row>
    <row r="6289" spans="3:3">
      <c r="C6289"/>
    </row>
    <row r="6290" spans="3:3">
      <c r="C6290"/>
    </row>
    <row r="6291" spans="3:3">
      <c r="C6291"/>
    </row>
    <row r="6292" spans="3:3">
      <c r="C6292"/>
    </row>
    <row r="6293" spans="3:3">
      <c r="C6293"/>
    </row>
    <row r="6294" spans="3:3">
      <c r="C6294"/>
    </row>
    <row r="6295" spans="3:3">
      <c r="C6295"/>
    </row>
    <row r="6296" spans="3:3">
      <c r="C6296"/>
    </row>
    <row r="6297" spans="3:3">
      <c r="C6297"/>
    </row>
    <row r="6298" spans="3:3">
      <c r="C6298"/>
    </row>
    <row r="6299" spans="3:3">
      <c r="C6299"/>
    </row>
    <row r="6300" spans="3:3">
      <c r="C6300"/>
    </row>
    <row r="6301" spans="3:3">
      <c r="C6301"/>
    </row>
    <row r="6302" spans="3:3">
      <c r="C6302"/>
    </row>
    <row r="6303" spans="3:3">
      <c r="C6303"/>
    </row>
    <row r="6304" spans="3:3">
      <c r="C6304"/>
    </row>
    <row r="6305" spans="3:3">
      <c r="C6305"/>
    </row>
    <row r="6306" spans="3:3">
      <c r="C6306"/>
    </row>
    <row r="6307" spans="3:3">
      <c r="C6307"/>
    </row>
    <row r="6308" spans="3:3">
      <c r="C6308"/>
    </row>
    <row r="6309" spans="3:3">
      <c r="C6309"/>
    </row>
    <row r="6310" spans="3:3">
      <c r="C6310"/>
    </row>
    <row r="6311" spans="3:3">
      <c r="C6311"/>
    </row>
    <row r="6312" spans="3:3">
      <c r="C6312"/>
    </row>
    <row r="6313" spans="3:3">
      <c r="C6313"/>
    </row>
    <row r="6314" spans="3:3">
      <c r="C6314"/>
    </row>
    <row r="6315" spans="3:3">
      <c r="C6315"/>
    </row>
    <row r="6316" spans="3:3">
      <c r="C6316"/>
    </row>
    <row r="6317" spans="3:3">
      <c r="C6317"/>
    </row>
    <row r="6318" spans="3:3">
      <c r="C6318"/>
    </row>
    <row r="6319" spans="3:3">
      <c r="C6319"/>
    </row>
    <row r="6320" spans="3:3">
      <c r="C6320"/>
    </row>
    <row r="6321" spans="3:3">
      <c r="C6321"/>
    </row>
    <row r="6322" spans="3:3">
      <c r="C6322"/>
    </row>
    <row r="6323" spans="3:3">
      <c r="C6323"/>
    </row>
    <row r="6324" spans="3:3">
      <c r="C6324"/>
    </row>
    <row r="6325" spans="3:3">
      <c r="C6325"/>
    </row>
    <row r="6326" spans="3:3">
      <c r="C6326"/>
    </row>
    <row r="6327" spans="3:3">
      <c r="C6327"/>
    </row>
    <row r="6328" spans="3:3">
      <c r="C6328"/>
    </row>
    <row r="6329" spans="3:3">
      <c r="C6329"/>
    </row>
    <row r="6330" spans="3:3">
      <c r="C6330"/>
    </row>
    <row r="6331" spans="3:3">
      <c r="C6331"/>
    </row>
    <row r="6332" spans="3:3">
      <c r="C6332"/>
    </row>
    <row r="6333" spans="3:3">
      <c r="C6333"/>
    </row>
    <row r="6334" spans="3:3">
      <c r="C6334"/>
    </row>
    <row r="6335" spans="3:3">
      <c r="C6335"/>
    </row>
    <row r="6336" spans="3:3">
      <c r="C6336"/>
    </row>
    <row r="6337" spans="3:3">
      <c r="C6337"/>
    </row>
    <row r="6338" spans="3:3">
      <c r="C6338"/>
    </row>
    <row r="6339" spans="3:3">
      <c r="C6339"/>
    </row>
    <row r="6340" spans="3:3">
      <c r="C6340"/>
    </row>
    <row r="6341" spans="3:3">
      <c r="C6341"/>
    </row>
    <row r="6342" spans="3:3">
      <c r="C6342"/>
    </row>
    <row r="6343" spans="3:3">
      <c r="C6343"/>
    </row>
    <row r="6344" spans="3:3">
      <c r="C6344"/>
    </row>
    <row r="6345" spans="3:3">
      <c r="C6345"/>
    </row>
    <row r="6346" spans="3:3">
      <c r="C6346"/>
    </row>
    <row r="6347" spans="3:3">
      <c r="C6347"/>
    </row>
    <row r="6348" spans="3:3">
      <c r="C6348"/>
    </row>
    <row r="6349" spans="3:3">
      <c r="C6349"/>
    </row>
    <row r="6350" spans="3:3">
      <c r="C6350"/>
    </row>
    <row r="6351" spans="3:3">
      <c r="C6351"/>
    </row>
    <row r="6352" spans="3:3">
      <c r="C6352"/>
    </row>
    <row r="6353" spans="3:3">
      <c r="C6353"/>
    </row>
    <row r="6354" spans="3:3">
      <c r="C6354"/>
    </row>
    <row r="6355" spans="3:3">
      <c r="C6355"/>
    </row>
    <row r="6356" spans="3:3">
      <c r="C6356"/>
    </row>
    <row r="6357" spans="3:3">
      <c r="C6357"/>
    </row>
    <row r="6358" spans="3:3">
      <c r="C6358"/>
    </row>
    <row r="6359" spans="3:3">
      <c r="C6359"/>
    </row>
    <row r="6360" spans="3:3">
      <c r="C6360"/>
    </row>
    <row r="6361" spans="3:3">
      <c r="C6361"/>
    </row>
    <row r="6362" spans="3:3">
      <c r="C6362"/>
    </row>
    <row r="6363" spans="3:3">
      <c r="C6363"/>
    </row>
    <row r="6364" spans="3:3">
      <c r="C6364"/>
    </row>
    <row r="6365" spans="3:3">
      <c r="C6365"/>
    </row>
    <row r="6366" spans="3:3">
      <c r="C6366"/>
    </row>
    <row r="6367" spans="3:3">
      <c r="C6367"/>
    </row>
    <row r="6368" spans="3:3">
      <c r="C6368"/>
    </row>
    <row r="6369" spans="3:3">
      <c r="C6369"/>
    </row>
    <row r="6370" spans="3:3">
      <c r="C6370"/>
    </row>
    <row r="6371" spans="3:3">
      <c r="C6371"/>
    </row>
    <row r="6372" spans="3:3">
      <c r="C6372"/>
    </row>
    <row r="6373" spans="3:3">
      <c r="C6373"/>
    </row>
    <row r="6374" spans="3:3">
      <c r="C6374"/>
    </row>
    <row r="6375" spans="3:3">
      <c r="C6375"/>
    </row>
    <row r="6376" spans="3:3">
      <c r="C6376"/>
    </row>
    <row r="6377" spans="3:3">
      <c r="C6377"/>
    </row>
    <row r="6378" spans="3:3">
      <c r="C6378"/>
    </row>
    <row r="6379" spans="3:3">
      <c r="C6379"/>
    </row>
    <row r="6380" spans="3:3">
      <c r="C6380"/>
    </row>
    <row r="6381" spans="3:3">
      <c r="C6381"/>
    </row>
    <row r="6382" spans="3:3">
      <c r="C6382"/>
    </row>
    <row r="6383" spans="3:3">
      <c r="C6383"/>
    </row>
    <row r="6384" spans="3:3">
      <c r="C6384"/>
    </row>
    <row r="6385" spans="3:3">
      <c r="C6385"/>
    </row>
    <row r="6386" spans="3:3">
      <c r="C6386"/>
    </row>
    <row r="6387" spans="3:3">
      <c r="C6387"/>
    </row>
    <row r="6388" spans="3:3">
      <c r="C6388"/>
    </row>
    <row r="6389" spans="3:3">
      <c r="C6389"/>
    </row>
    <row r="6390" spans="3:3">
      <c r="C6390"/>
    </row>
    <row r="6391" spans="3:3">
      <c r="C6391"/>
    </row>
    <row r="6392" spans="3:3">
      <c r="C6392"/>
    </row>
    <row r="6393" spans="3:3">
      <c r="C6393"/>
    </row>
    <row r="6394" spans="3:3">
      <c r="C6394"/>
    </row>
    <row r="6395" spans="3:3">
      <c r="C6395"/>
    </row>
    <row r="6396" spans="3:3">
      <c r="C6396"/>
    </row>
    <row r="6397" spans="3:3">
      <c r="C6397"/>
    </row>
    <row r="6398" spans="3:3">
      <c r="C6398"/>
    </row>
    <row r="6399" spans="3:3">
      <c r="C6399"/>
    </row>
    <row r="6400" spans="3:3">
      <c r="C6400"/>
    </row>
    <row r="6401" spans="3:3">
      <c r="C6401"/>
    </row>
    <row r="6402" spans="3:3">
      <c r="C6402"/>
    </row>
    <row r="6403" spans="3:3">
      <c r="C6403"/>
    </row>
    <row r="6404" spans="3:3">
      <c r="C6404"/>
    </row>
    <row r="6405" spans="3:3">
      <c r="C6405"/>
    </row>
    <row r="6406" spans="3:3">
      <c r="C6406"/>
    </row>
    <row r="6407" spans="3:3">
      <c r="C6407"/>
    </row>
    <row r="6408" spans="3:3">
      <c r="C6408"/>
    </row>
    <row r="6409" spans="3:3">
      <c r="C6409"/>
    </row>
    <row r="6410" spans="3:3">
      <c r="C6410"/>
    </row>
    <row r="6411" spans="3:3">
      <c r="C6411"/>
    </row>
    <row r="6412" spans="3:3">
      <c r="C6412"/>
    </row>
    <row r="6413" spans="3:3">
      <c r="C6413"/>
    </row>
    <row r="6414" spans="3:3">
      <c r="C6414"/>
    </row>
    <row r="6415" spans="3:3">
      <c r="C6415"/>
    </row>
    <row r="6416" spans="3:3">
      <c r="C6416"/>
    </row>
    <row r="6417" spans="3:3">
      <c r="C6417"/>
    </row>
    <row r="6418" spans="3:3">
      <c r="C6418"/>
    </row>
    <row r="6419" spans="3:3">
      <c r="C6419"/>
    </row>
    <row r="6420" spans="3:3">
      <c r="C6420"/>
    </row>
    <row r="6421" spans="3:3">
      <c r="C6421"/>
    </row>
    <row r="6422" spans="3:3">
      <c r="C6422"/>
    </row>
    <row r="6423" spans="3:3">
      <c r="C6423"/>
    </row>
    <row r="6424" spans="3:3">
      <c r="C6424"/>
    </row>
    <row r="6425" spans="3:3">
      <c r="C6425"/>
    </row>
    <row r="6426" spans="3:3">
      <c r="C6426"/>
    </row>
    <row r="6427" spans="3:3">
      <c r="C6427"/>
    </row>
    <row r="6428" spans="3:3">
      <c r="C6428"/>
    </row>
    <row r="6429" spans="3:3">
      <c r="C6429"/>
    </row>
    <row r="6430" spans="3:3">
      <c r="C6430"/>
    </row>
    <row r="6431" spans="3:3">
      <c r="C6431"/>
    </row>
    <row r="6432" spans="3:3">
      <c r="C6432"/>
    </row>
    <row r="6433" spans="3:3">
      <c r="C6433"/>
    </row>
    <row r="6434" spans="3:3">
      <c r="C6434"/>
    </row>
    <row r="6435" spans="3:3">
      <c r="C6435"/>
    </row>
    <row r="6436" spans="3:3">
      <c r="C6436"/>
    </row>
    <row r="6437" spans="3:3">
      <c r="C6437"/>
    </row>
    <row r="6438" spans="3:3">
      <c r="C6438"/>
    </row>
    <row r="6439" spans="3:3">
      <c r="C6439"/>
    </row>
    <row r="6440" spans="3:3">
      <c r="C6440"/>
    </row>
    <row r="6441" spans="3:3">
      <c r="C6441"/>
    </row>
    <row r="6442" spans="3:3">
      <c r="C6442"/>
    </row>
    <row r="6443" spans="3:3">
      <c r="C6443"/>
    </row>
    <row r="6444" spans="3:3">
      <c r="C6444"/>
    </row>
    <row r="6445" spans="3:3">
      <c r="C6445"/>
    </row>
    <row r="6446" spans="3:3">
      <c r="C6446"/>
    </row>
    <row r="6447" spans="3:3">
      <c r="C6447"/>
    </row>
    <row r="6448" spans="3:3">
      <c r="C6448"/>
    </row>
    <row r="6449" spans="3:3">
      <c r="C6449"/>
    </row>
    <row r="6450" spans="3:3">
      <c r="C6450"/>
    </row>
    <row r="6451" spans="3:3">
      <c r="C6451"/>
    </row>
    <row r="6452" spans="3:3">
      <c r="C6452"/>
    </row>
    <row r="6453" spans="3:3">
      <c r="C6453"/>
    </row>
    <row r="6454" spans="3:3">
      <c r="C6454"/>
    </row>
    <row r="6455" spans="3:3">
      <c r="C6455"/>
    </row>
    <row r="6456" spans="3:3">
      <c r="C6456"/>
    </row>
    <row r="6457" spans="3:3">
      <c r="C6457"/>
    </row>
    <row r="6458" spans="3:3">
      <c r="C6458"/>
    </row>
    <row r="6459" spans="3:3">
      <c r="C6459"/>
    </row>
    <row r="6460" spans="3:3">
      <c r="C6460"/>
    </row>
    <row r="6461" spans="3:3">
      <c r="C6461"/>
    </row>
    <row r="6462" spans="3:3">
      <c r="C6462"/>
    </row>
    <row r="6463" spans="3:3">
      <c r="C6463"/>
    </row>
    <row r="6464" spans="3:3">
      <c r="C6464"/>
    </row>
    <row r="6465" spans="3:3">
      <c r="C6465"/>
    </row>
    <row r="6466" spans="3:3">
      <c r="C6466"/>
    </row>
    <row r="6467" spans="3:3">
      <c r="C6467"/>
    </row>
    <row r="6468" spans="3:3">
      <c r="C6468"/>
    </row>
    <row r="6469" spans="3:3">
      <c r="C6469"/>
    </row>
    <row r="6470" spans="3:3">
      <c r="C6470"/>
    </row>
    <row r="6471" spans="3:3">
      <c r="C6471"/>
    </row>
    <row r="6472" spans="3:3">
      <c r="C6472"/>
    </row>
    <row r="6473" spans="3:3">
      <c r="C6473"/>
    </row>
    <row r="6474" spans="3:3">
      <c r="C6474"/>
    </row>
    <row r="6475" spans="3:3">
      <c r="C6475"/>
    </row>
    <row r="6476" spans="3:3">
      <c r="C6476"/>
    </row>
    <row r="6477" spans="3:3">
      <c r="C6477"/>
    </row>
    <row r="6478" spans="3:3">
      <c r="C6478"/>
    </row>
    <row r="6479" spans="3:3">
      <c r="C6479"/>
    </row>
    <row r="6480" spans="3:3">
      <c r="C6480"/>
    </row>
    <row r="6481" spans="3:3">
      <c r="C6481"/>
    </row>
    <row r="6482" spans="3:3">
      <c r="C6482"/>
    </row>
    <row r="6483" spans="3:3">
      <c r="C6483"/>
    </row>
    <row r="6484" spans="3:3">
      <c r="C6484"/>
    </row>
    <row r="6485" spans="3:3">
      <c r="C6485"/>
    </row>
    <row r="6486" spans="3:3">
      <c r="C6486"/>
    </row>
    <row r="6487" spans="3:3">
      <c r="C6487"/>
    </row>
    <row r="6488" spans="3:3">
      <c r="C6488"/>
    </row>
    <row r="6489" spans="3:3">
      <c r="C6489"/>
    </row>
    <row r="6490" spans="3:3">
      <c r="C6490"/>
    </row>
    <row r="6491" spans="3:3">
      <c r="C6491"/>
    </row>
    <row r="6492" spans="3:3">
      <c r="C6492"/>
    </row>
    <row r="6493" spans="3:3">
      <c r="C6493"/>
    </row>
    <row r="6494" spans="3:3">
      <c r="C6494"/>
    </row>
    <row r="6495" spans="3:3">
      <c r="C6495"/>
    </row>
    <row r="6496" spans="3:3">
      <c r="C6496"/>
    </row>
    <row r="6497" spans="3:3">
      <c r="C6497"/>
    </row>
    <row r="6498" spans="3:3">
      <c r="C6498"/>
    </row>
    <row r="6499" spans="3:3">
      <c r="C6499"/>
    </row>
    <row r="6500" spans="3:3">
      <c r="C6500"/>
    </row>
    <row r="6501" spans="3:3">
      <c r="C6501"/>
    </row>
    <row r="6502" spans="3:3">
      <c r="C6502"/>
    </row>
    <row r="6503" spans="3:3">
      <c r="C6503"/>
    </row>
    <row r="6504" spans="3:3">
      <c r="C6504"/>
    </row>
    <row r="6505" spans="3:3">
      <c r="C6505"/>
    </row>
    <row r="6506" spans="3:3">
      <c r="C6506"/>
    </row>
    <row r="6507" spans="3:3">
      <c r="C6507"/>
    </row>
    <row r="6508" spans="3:3">
      <c r="C6508"/>
    </row>
    <row r="6509" spans="3:3">
      <c r="C6509"/>
    </row>
    <row r="6510" spans="3:3">
      <c r="C6510"/>
    </row>
    <row r="6511" spans="3:3">
      <c r="C6511"/>
    </row>
    <row r="6512" spans="3:3">
      <c r="C6512"/>
    </row>
    <row r="6513" spans="3:3">
      <c r="C6513"/>
    </row>
    <row r="6514" spans="3:3">
      <c r="C6514"/>
    </row>
    <row r="6515" spans="3:3">
      <c r="C6515"/>
    </row>
    <row r="6516" spans="3:3">
      <c r="C6516"/>
    </row>
    <row r="6517" spans="3:3">
      <c r="C6517"/>
    </row>
    <row r="6518" spans="3:3">
      <c r="C6518"/>
    </row>
    <row r="6519" spans="3:3">
      <c r="C6519"/>
    </row>
    <row r="6520" spans="3:3">
      <c r="C6520"/>
    </row>
    <row r="6521" spans="3:3">
      <c r="C6521"/>
    </row>
    <row r="6522" spans="3:3">
      <c r="C6522"/>
    </row>
    <row r="6523" spans="3:3">
      <c r="C6523"/>
    </row>
    <row r="6524" spans="3:3">
      <c r="C6524"/>
    </row>
    <row r="6525" spans="3:3">
      <c r="C6525"/>
    </row>
    <row r="6526" spans="3:3">
      <c r="C6526"/>
    </row>
    <row r="6527" spans="3:3">
      <c r="C6527"/>
    </row>
    <row r="6528" spans="3:3">
      <c r="C6528"/>
    </row>
    <row r="6529" spans="3:3">
      <c r="C6529"/>
    </row>
    <row r="6530" spans="3:3">
      <c r="C6530"/>
    </row>
    <row r="6531" spans="3:3">
      <c r="C6531"/>
    </row>
    <row r="6532" spans="3:3">
      <c r="C6532"/>
    </row>
    <row r="6533" spans="3:3">
      <c r="C6533"/>
    </row>
    <row r="6534" spans="3:3">
      <c r="C6534"/>
    </row>
    <row r="6535" spans="3:3">
      <c r="C6535"/>
    </row>
    <row r="6536" spans="3:3">
      <c r="C6536"/>
    </row>
    <row r="6537" spans="3:3">
      <c r="C6537"/>
    </row>
    <row r="6538" spans="3:3">
      <c r="C6538"/>
    </row>
    <row r="6539" spans="3:3">
      <c r="C6539"/>
    </row>
    <row r="6540" spans="3:3">
      <c r="C6540"/>
    </row>
    <row r="6541" spans="3:3">
      <c r="C6541"/>
    </row>
    <row r="6542" spans="3:3">
      <c r="C6542"/>
    </row>
    <row r="6543" spans="3:3">
      <c r="C6543"/>
    </row>
    <row r="6544" spans="3:3">
      <c r="C6544"/>
    </row>
    <row r="6545" spans="3:3">
      <c r="C6545"/>
    </row>
    <row r="6546" spans="3:3">
      <c r="C6546"/>
    </row>
    <row r="6547" spans="3:3">
      <c r="C6547"/>
    </row>
    <row r="6548" spans="3:3">
      <c r="C6548"/>
    </row>
    <row r="6549" spans="3:3">
      <c r="C6549"/>
    </row>
    <row r="6550" spans="3:3">
      <c r="C6550"/>
    </row>
    <row r="6551" spans="3:3">
      <c r="C6551"/>
    </row>
    <row r="6552" spans="3:3">
      <c r="C6552"/>
    </row>
    <row r="6553" spans="3:3">
      <c r="C6553"/>
    </row>
    <row r="6554" spans="3:3">
      <c r="C6554"/>
    </row>
    <row r="6555" spans="3:3">
      <c r="C6555"/>
    </row>
    <row r="6556" spans="3:3">
      <c r="C6556"/>
    </row>
    <row r="6557" spans="3:3">
      <c r="C6557"/>
    </row>
    <row r="6558" spans="3:3">
      <c r="C6558"/>
    </row>
    <row r="6559" spans="3:3">
      <c r="C6559"/>
    </row>
    <row r="6560" spans="3:3">
      <c r="C6560"/>
    </row>
    <row r="6561" spans="3:3">
      <c r="C6561"/>
    </row>
    <row r="6562" spans="3:3">
      <c r="C6562"/>
    </row>
    <row r="6563" spans="3:3">
      <c r="C6563"/>
    </row>
    <row r="6564" spans="3:3">
      <c r="C6564"/>
    </row>
    <row r="6565" spans="3:3">
      <c r="C6565"/>
    </row>
    <row r="6566" spans="3:3">
      <c r="C6566"/>
    </row>
    <row r="6567" spans="3:3">
      <c r="C6567"/>
    </row>
    <row r="6568" spans="3:3">
      <c r="C6568"/>
    </row>
    <row r="6569" spans="3:3">
      <c r="C6569"/>
    </row>
    <row r="6570" spans="3:3">
      <c r="C6570"/>
    </row>
    <row r="6571" spans="3:3">
      <c r="C6571"/>
    </row>
    <row r="6572" spans="3:3">
      <c r="C6572"/>
    </row>
    <row r="6573" spans="3:3">
      <c r="C6573"/>
    </row>
    <row r="6574" spans="3:3">
      <c r="C6574"/>
    </row>
    <row r="6575" spans="3:3">
      <c r="C6575"/>
    </row>
    <row r="6576" spans="3:3">
      <c r="C6576"/>
    </row>
    <row r="6577" spans="3:3">
      <c r="C6577"/>
    </row>
    <row r="6578" spans="3:3">
      <c r="C6578"/>
    </row>
    <row r="6579" spans="3:3">
      <c r="C6579"/>
    </row>
    <row r="6580" spans="3:3">
      <c r="C6580"/>
    </row>
    <row r="6581" spans="3:3">
      <c r="C6581"/>
    </row>
    <row r="6582" spans="3:3">
      <c r="C6582"/>
    </row>
    <row r="6583" spans="3:3">
      <c r="C6583"/>
    </row>
    <row r="6584" spans="3:3">
      <c r="C6584"/>
    </row>
    <row r="6585" spans="3:3">
      <c r="C6585"/>
    </row>
    <row r="6586" spans="3:3">
      <c r="C6586"/>
    </row>
    <row r="6587" spans="3:3">
      <c r="C6587"/>
    </row>
    <row r="6588" spans="3:3">
      <c r="C6588"/>
    </row>
    <row r="6589" spans="3:3">
      <c r="C6589"/>
    </row>
    <row r="6590" spans="3:3">
      <c r="C6590"/>
    </row>
    <row r="6591" spans="3:3">
      <c r="C6591"/>
    </row>
    <row r="6592" spans="3:3">
      <c r="C6592"/>
    </row>
    <row r="6593" spans="3:3">
      <c r="C6593"/>
    </row>
    <row r="6594" spans="3:3">
      <c r="C6594"/>
    </row>
    <row r="6595" spans="3:3">
      <c r="C6595"/>
    </row>
    <row r="6596" spans="3:3">
      <c r="C6596"/>
    </row>
    <row r="6597" spans="3:3">
      <c r="C6597"/>
    </row>
    <row r="6598" spans="3:3">
      <c r="C6598"/>
    </row>
    <row r="6599" spans="3:3">
      <c r="C6599"/>
    </row>
    <row r="6600" spans="3:3">
      <c r="C6600"/>
    </row>
    <row r="6601" spans="3:3">
      <c r="C6601"/>
    </row>
    <row r="6602" spans="3:3">
      <c r="C6602"/>
    </row>
    <row r="6603" spans="3:3">
      <c r="C6603"/>
    </row>
    <row r="6604" spans="3:3">
      <c r="C6604"/>
    </row>
    <row r="6605" spans="3:3">
      <c r="C6605"/>
    </row>
    <row r="6606" spans="3:3">
      <c r="C6606"/>
    </row>
    <row r="6607" spans="3:3">
      <c r="C6607"/>
    </row>
    <row r="6608" spans="3:3">
      <c r="C6608"/>
    </row>
    <row r="6609" spans="3:3">
      <c r="C6609"/>
    </row>
    <row r="6610" spans="3:3">
      <c r="C6610"/>
    </row>
    <row r="6611" spans="3:3">
      <c r="C6611"/>
    </row>
    <row r="6612" spans="3:3">
      <c r="C6612"/>
    </row>
    <row r="6613" spans="3:3">
      <c r="C6613"/>
    </row>
    <row r="6614" spans="3:3">
      <c r="C6614"/>
    </row>
    <row r="6615" spans="3:3">
      <c r="C6615"/>
    </row>
    <row r="6616" spans="3:3">
      <c r="C6616"/>
    </row>
    <row r="6617" spans="3:3">
      <c r="C6617"/>
    </row>
    <row r="6618" spans="3:3">
      <c r="C6618"/>
    </row>
    <row r="6619" spans="3:3">
      <c r="C6619"/>
    </row>
    <row r="6620" spans="3:3">
      <c r="C6620"/>
    </row>
    <row r="6621" spans="3:3">
      <c r="C6621"/>
    </row>
    <row r="6622" spans="3:3">
      <c r="C6622"/>
    </row>
    <row r="6623" spans="3:3">
      <c r="C6623"/>
    </row>
    <row r="6624" spans="3:3">
      <c r="C6624"/>
    </row>
    <row r="6625" spans="3:3">
      <c r="C6625"/>
    </row>
    <row r="6626" spans="3:3">
      <c r="C6626"/>
    </row>
    <row r="6627" spans="3:3">
      <c r="C6627"/>
    </row>
    <row r="6628" spans="3:3">
      <c r="C6628"/>
    </row>
    <row r="6629" spans="3:3">
      <c r="C6629"/>
    </row>
    <row r="6630" spans="3:3">
      <c r="C6630"/>
    </row>
    <row r="6631" spans="3:3">
      <c r="C6631"/>
    </row>
    <row r="6632" spans="3:3">
      <c r="C6632"/>
    </row>
    <row r="6633" spans="3:3">
      <c r="C6633"/>
    </row>
    <row r="6634" spans="3:3">
      <c r="C6634"/>
    </row>
    <row r="6635" spans="3:3">
      <c r="C6635"/>
    </row>
    <row r="6636" spans="3:3">
      <c r="C6636"/>
    </row>
    <row r="6637" spans="3:3">
      <c r="C6637"/>
    </row>
    <row r="6638" spans="3:3">
      <c r="C6638"/>
    </row>
    <row r="6639" spans="3:3">
      <c r="C6639"/>
    </row>
    <row r="6640" spans="3:3">
      <c r="C6640"/>
    </row>
    <row r="6641" spans="3:3">
      <c r="C6641"/>
    </row>
    <row r="6642" spans="3:3">
      <c r="C6642"/>
    </row>
    <row r="6643" spans="3:3">
      <c r="C6643"/>
    </row>
    <row r="6644" spans="3:3">
      <c r="C6644"/>
    </row>
    <row r="6645" spans="3:3">
      <c r="C6645"/>
    </row>
    <row r="6646" spans="3:3">
      <c r="C6646"/>
    </row>
    <row r="6647" spans="3:3">
      <c r="C6647"/>
    </row>
    <row r="6648" spans="3:3">
      <c r="C6648"/>
    </row>
    <row r="6649" spans="3:3">
      <c r="C6649"/>
    </row>
    <row r="6650" spans="3:3">
      <c r="C6650"/>
    </row>
    <row r="6651" spans="3:3">
      <c r="C6651"/>
    </row>
    <row r="6652" spans="3:3">
      <c r="C6652"/>
    </row>
    <row r="6653" spans="3:3">
      <c r="C6653"/>
    </row>
    <row r="6654" spans="3:3">
      <c r="C6654"/>
    </row>
    <row r="6655" spans="3:3">
      <c r="C6655"/>
    </row>
    <row r="6656" spans="3:3">
      <c r="C6656"/>
    </row>
    <row r="6657" spans="3:3">
      <c r="C6657"/>
    </row>
    <row r="6658" spans="3:3">
      <c r="C6658"/>
    </row>
    <row r="6659" spans="3:3">
      <c r="C6659"/>
    </row>
    <row r="6660" spans="3:3">
      <c r="C6660"/>
    </row>
    <row r="6661" spans="3:3">
      <c r="C6661"/>
    </row>
    <row r="6662" spans="3:3">
      <c r="C6662"/>
    </row>
    <row r="6663" spans="3:3">
      <c r="C6663"/>
    </row>
    <row r="6664" spans="3:3">
      <c r="C6664"/>
    </row>
    <row r="6665" spans="3:3">
      <c r="C6665"/>
    </row>
    <row r="6666" spans="3:3">
      <c r="C6666"/>
    </row>
    <row r="6667" spans="3:3">
      <c r="C6667"/>
    </row>
    <row r="6668" spans="3:3">
      <c r="C6668"/>
    </row>
    <row r="6669" spans="3:3">
      <c r="C6669"/>
    </row>
    <row r="6670" spans="3:3">
      <c r="C6670"/>
    </row>
    <row r="6671" spans="3:3">
      <c r="C6671"/>
    </row>
    <row r="6672" spans="3:3">
      <c r="C6672"/>
    </row>
    <row r="6673" spans="3:3">
      <c r="C6673"/>
    </row>
    <row r="6674" spans="3:3">
      <c r="C6674"/>
    </row>
    <row r="6675" spans="3:3">
      <c r="C6675"/>
    </row>
    <row r="6676" spans="3:3">
      <c r="C6676"/>
    </row>
    <row r="6677" spans="3:3">
      <c r="C6677"/>
    </row>
    <row r="6678" spans="3:3">
      <c r="C6678"/>
    </row>
    <row r="6679" spans="3:3">
      <c r="C6679"/>
    </row>
    <row r="6680" spans="3:3">
      <c r="C6680"/>
    </row>
    <row r="6681" spans="3:3">
      <c r="C6681"/>
    </row>
    <row r="6682" spans="3:3">
      <c r="C6682"/>
    </row>
    <row r="6683" spans="3:3">
      <c r="C6683"/>
    </row>
    <row r="6684" spans="3:3">
      <c r="C6684"/>
    </row>
    <row r="6685" spans="3:3">
      <c r="C6685"/>
    </row>
    <row r="6686" spans="3:3">
      <c r="C6686"/>
    </row>
    <row r="6687" spans="3:3">
      <c r="C6687"/>
    </row>
    <row r="6688" spans="3:3">
      <c r="C6688"/>
    </row>
    <row r="6689" spans="3:3">
      <c r="C6689"/>
    </row>
    <row r="6690" spans="3:3">
      <c r="C6690"/>
    </row>
    <row r="6691" spans="3:3">
      <c r="C6691"/>
    </row>
    <row r="6692" spans="3:3">
      <c r="C6692"/>
    </row>
    <row r="6693" spans="3:3">
      <c r="C6693"/>
    </row>
    <row r="6694" spans="3:3">
      <c r="C6694"/>
    </row>
    <row r="6695" spans="3:3">
      <c r="C6695"/>
    </row>
    <row r="6696" spans="3:3">
      <c r="C6696"/>
    </row>
    <row r="6697" spans="3:3">
      <c r="C6697"/>
    </row>
    <row r="6698" spans="3:3">
      <c r="C6698"/>
    </row>
    <row r="6699" spans="3:3">
      <c r="C6699"/>
    </row>
    <row r="6700" spans="3:3">
      <c r="C6700"/>
    </row>
    <row r="6701" spans="3:3">
      <c r="C6701"/>
    </row>
    <row r="6702" spans="3:3">
      <c r="C6702"/>
    </row>
    <row r="6703" spans="3:3">
      <c r="C6703"/>
    </row>
    <row r="6704" spans="3:3">
      <c r="C6704"/>
    </row>
    <row r="6705" spans="3:3">
      <c r="C6705"/>
    </row>
    <row r="6706" spans="3:3">
      <c r="C6706"/>
    </row>
    <row r="6707" spans="3:3">
      <c r="C6707"/>
    </row>
    <row r="6708" spans="3:3">
      <c r="C6708"/>
    </row>
    <row r="6709" spans="3:3">
      <c r="C6709"/>
    </row>
    <row r="6710" spans="3:3">
      <c r="C6710"/>
    </row>
    <row r="6711" spans="3:3">
      <c r="C6711"/>
    </row>
    <row r="6712" spans="3:3">
      <c r="C6712"/>
    </row>
    <row r="6713" spans="3:3">
      <c r="C6713"/>
    </row>
    <row r="6714" spans="3:3">
      <c r="C6714"/>
    </row>
    <row r="6715" spans="3:3">
      <c r="C6715"/>
    </row>
    <row r="6716" spans="3:3">
      <c r="C6716"/>
    </row>
    <row r="6717" spans="3:3">
      <c r="C6717"/>
    </row>
    <row r="6718" spans="3:3">
      <c r="C6718"/>
    </row>
    <row r="6719" spans="3:3">
      <c r="C6719"/>
    </row>
    <row r="6720" spans="3:3">
      <c r="C6720"/>
    </row>
    <row r="6721" spans="3:3">
      <c r="C6721"/>
    </row>
    <row r="6722" spans="3:3">
      <c r="C6722"/>
    </row>
    <row r="6723" spans="3:3">
      <c r="C6723"/>
    </row>
    <row r="6724" spans="3:3">
      <c r="C6724"/>
    </row>
    <row r="6725" spans="3:3">
      <c r="C6725"/>
    </row>
    <row r="6726" spans="3:3">
      <c r="C6726"/>
    </row>
    <row r="6727" spans="3:3">
      <c r="C6727"/>
    </row>
    <row r="6728" spans="3:3">
      <c r="C6728"/>
    </row>
    <row r="6729" spans="3:3">
      <c r="C6729"/>
    </row>
    <row r="6730" spans="3:3">
      <c r="C6730"/>
    </row>
    <row r="6731" spans="3:3">
      <c r="C6731"/>
    </row>
    <row r="6732" spans="3:3">
      <c r="C6732"/>
    </row>
    <row r="6733" spans="3:3">
      <c r="C6733"/>
    </row>
    <row r="6734" spans="3:3">
      <c r="C6734"/>
    </row>
    <row r="6735" spans="3:3">
      <c r="C6735"/>
    </row>
    <row r="6736" spans="3:3">
      <c r="C6736"/>
    </row>
    <row r="6737" spans="3:3">
      <c r="C6737"/>
    </row>
    <row r="6738" spans="3:3">
      <c r="C6738"/>
    </row>
    <row r="6739" spans="3:3">
      <c r="C6739"/>
    </row>
    <row r="6740" spans="3:3">
      <c r="C6740"/>
    </row>
    <row r="6741" spans="3:3">
      <c r="C6741"/>
    </row>
    <row r="6742" spans="3:3">
      <c r="C6742"/>
    </row>
    <row r="6743" spans="3:3">
      <c r="C6743"/>
    </row>
    <row r="6744" spans="3:3">
      <c r="C6744"/>
    </row>
    <row r="6745" spans="3:3">
      <c r="C6745"/>
    </row>
    <row r="6746" spans="3:3">
      <c r="C6746"/>
    </row>
    <row r="6747" spans="3:3">
      <c r="C6747"/>
    </row>
    <row r="6748" spans="3:3">
      <c r="C6748"/>
    </row>
    <row r="6749" spans="3:3">
      <c r="C6749"/>
    </row>
    <row r="6750" spans="3:3">
      <c r="C6750"/>
    </row>
    <row r="6751" spans="3:3">
      <c r="C6751"/>
    </row>
    <row r="6752" spans="3:3">
      <c r="C6752"/>
    </row>
    <row r="6753" spans="3:3">
      <c r="C6753"/>
    </row>
    <row r="6754" spans="3:3">
      <c r="C6754"/>
    </row>
    <row r="6755" spans="3:3">
      <c r="C6755"/>
    </row>
    <row r="6756" spans="3:3">
      <c r="C6756"/>
    </row>
    <row r="6757" spans="3:3">
      <c r="C6757"/>
    </row>
    <row r="6758" spans="3:3">
      <c r="C6758"/>
    </row>
    <row r="6759" spans="3:3">
      <c r="C6759"/>
    </row>
    <row r="6760" spans="3:3">
      <c r="C6760"/>
    </row>
    <row r="6761" spans="3:3">
      <c r="C6761"/>
    </row>
    <row r="6762" spans="3:3">
      <c r="C6762"/>
    </row>
    <row r="6763" spans="3:3">
      <c r="C6763"/>
    </row>
    <row r="6764" spans="3:3">
      <c r="C6764"/>
    </row>
    <row r="6765" spans="3:3">
      <c r="C6765"/>
    </row>
    <row r="6766" spans="3:3">
      <c r="C6766"/>
    </row>
    <row r="6767" spans="3:3">
      <c r="C6767"/>
    </row>
    <row r="6768" spans="3:3">
      <c r="C6768"/>
    </row>
    <row r="6769" spans="3:3">
      <c r="C6769"/>
    </row>
    <row r="6770" spans="3:3">
      <c r="C6770"/>
    </row>
    <row r="6771" spans="3:3">
      <c r="C6771"/>
    </row>
    <row r="6772" spans="3:3">
      <c r="C6772"/>
    </row>
    <row r="6773" spans="3:3">
      <c r="C6773"/>
    </row>
    <row r="6774" spans="3:3">
      <c r="C6774"/>
    </row>
    <row r="6775" spans="3:3">
      <c r="C6775"/>
    </row>
    <row r="6776" spans="3:3">
      <c r="C6776"/>
    </row>
    <row r="6777" spans="3:3">
      <c r="C6777"/>
    </row>
    <row r="6778" spans="3:3">
      <c r="C6778"/>
    </row>
    <row r="6779" spans="3:3">
      <c r="C6779"/>
    </row>
    <row r="6780" spans="3:3">
      <c r="C6780"/>
    </row>
    <row r="6781" spans="3:3">
      <c r="C6781"/>
    </row>
    <row r="6782" spans="3:3">
      <c r="C6782"/>
    </row>
    <row r="6783" spans="3:3">
      <c r="C6783"/>
    </row>
    <row r="6784" spans="3:3">
      <c r="C6784"/>
    </row>
    <row r="6785" spans="3:3">
      <c r="C6785"/>
    </row>
    <row r="6786" spans="3:3">
      <c r="C6786"/>
    </row>
    <row r="6787" spans="3:3">
      <c r="C6787"/>
    </row>
    <row r="6788" spans="3:3">
      <c r="C6788"/>
    </row>
    <row r="6789" spans="3:3">
      <c r="C6789"/>
    </row>
    <row r="6790" spans="3:3">
      <c r="C6790"/>
    </row>
    <row r="6791" spans="3:3">
      <c r="C6791"/>
    </row>
    <row r="6792" spans="3:3">
      <c r="C6792"/>
    </row>
    <row r="6793" spans="3:3">
      <c r="C6793"/>
    </row>
    <row r="6794" spans="3:3">
      <c r="C6794"/>
    </row>
    <row r="6795" spans="3:3">
      <c r="C6795"/>
    </row>
    <row r="6796" spans="3:3">
      <c r="C6796"/>
    </row>
    <row r="6797" spans="3:3">
      <c r="C6797"/>
    </row>
    <row r="6798" spans="3:3">
      <c r="C6798"/>
    </row>
    <row r="6799" spans="3:3">
      <c r="C6799"/>
    </row>
    <row r="6800" spans="3:3">
      <c r="C6800"/>
    </row>
    <row r="6801" spans="3:3">
      <c r="C6801"/>
    </row>
    <row r="6802" spans="3:3">
      <c r="C6802"/>
    </row>
    <row r="6803" spans="3:3">
      <c r="C6803"/>
    </row>
    <row r="6804" spans="3:3">
      <c r="C6804"/>
    </row>
    <row r="6805" spans="3:3">
      <c r="C6805"/>
    </row>
    <row r="6806" spans="3:3">
      <c r="C6806"/>
    </row>
    <row r="6807" spans="3:3">
      <c r="C6807"/>
    </row>
    <row r="6808" spans="3:3">
      <c r="C6808"/>
    </row>
    <row r="6809" spans="3:3">
      <c r="C6809"/>
    </row>
    <row r="6810" spans="3:3">
      <c r="C6810"/>
    </row>
    <row r="6811" spans="3:3">
      <c r="C6811"/>
    </row>
    <row r="6812" spans="3:3">
      <c r="C6812"/>
    </row>
    <row r="6813" spans="3:3">
      <c r="C6813"/>
    </row>
    <row r="6814" spans="3:3">
      <c r="C6814"/>
    </row>
    <row r="6815" spans="3:3">
      <c r="C6815"/>
    </row>
    <row r="6816" spans="3:3">
      <c r="C6816"/>
    </row>
    <row r="6817" spans="3:3">
      <c r="C6817"/>
    </row>
    <row r="6818" spans="3:3">
      <c r="C6818"/>
    </row>
    <row r="6819" spans="3:3">
      <c r="C6819"/>
    </row>
    <row r="6820" spans="3:3">
      <c r="C6820"/>
    </row>
    <row r="6821" spans="3:3">
      <c r="C6821"/>
    </row>
    <row r="6822" spans="3:3">
      <c r="C6822"/>
    </row>
    <row r="6823" spans="3:3">
      <c r="C6823"/>
    </row>
    <row r="6824" spans="3:3">
      <c r="C6824"/>
    </row>
    <row r="6825" spans="3:3">
      <c r="C6825"/>
    </row>
    <row r="6826" spans="3:3">
      <c r="C6826"/>
    </row>
    <row r="6827" spans="3:3">
      <c r="C6827"/>
    </row>
    <row r="6828" spans="3:3">
      <c r="C6828"/>
    </row>
    <row r="6829" spans="3:3">
      <c r="C6829"/>
    </row>
    <row r="6830" spans="3:3">
      <c r="C6830"/>
    </row>
    <row r="6831" spans="3:3">
      <c r="C6831"/>
    </row>
    <row r="6832" spans="3:3">
      <c r="C6832"/>
    </row>
    <row r="6833" spans="3:3">
      <c r="C6833"/>
    </row>
    <row r="6834" spans="3:3">
      <c r="C6834"/>
    </row>
    <row r="6835" spans="3:3">
      <c r="C6835"/>
    </row>
    <row r="6836" spans="3:3">
      <c r="C6836"/>
    </row>
    <row r="6837" spans="3:3">
      <c r="C6837"/>
    </row>
    <row r="6838" spans="3:3">
      <c r="C6838"/>
    </row>
    <row r="6839" spans="3:3">
      <c r="C6839"/>
    </row>
    <row r="6840" spans="3:3">
      <c r="C6840"/>
    </row>
    <row r="6841" spans="3:3">
      <c r="C6841"/>
    </row>
    <row r="6842" spans="3:3">
      <c r="C6842"/>
    </row>
    <row r="6843" spans="3:3">
      <c r="C6843"/>
    </row>
    <row r="6844" spans="3:3">
      <c r="C6844"/>
    </row>
    <row r="6845" spans="3:3">
      <c r="C6845"/>
    </row>
    <row r="6846" spans="3:3">
      <c r="C6846"/>
    </row>
    <row r="6847" spans="3:3">
      <c r="C6847"/>
    </row>
    <row r="6848" spans="3:3">
      <c r="C6848"/>
    </row>
    <row r="6849" spans="3:3">
      <c r="C6849"/>
    </row>
    <row r="6850" spans="3:3">
      <c r="C6850"/>
    </row>
    <row r="6851" spans="3:3">
      <c r="C6851"/>
    </row>
    <row r="6852" spans="3:3">
      <c r="C6852"/>
    </row>
    <row r="6853" spans="3:3">
      <c r="C6853"/>
    </row>
    <row r="6854" spans="3:3">
      <c r="C6854"/>
    </row>
    <row r="6855" spans="3:3">
      <c r="C6855"/>
    </row>
    <row r="6856" spans="3:3">
      <c r="C6856"/>
    </row>
    <row r="6857" spans="3:3">
      <c r="C6857"/>
    </row>
    <row r="6858" spans="3:3">
      <c r="C6858"/>
    </row>
    <row r="6859" spans="3:3">
      <c r="C6859"/>
    </row>
    <row r="6860" spans="3:3">
      <c r="C6860"/>
    </row>
    <row r="6861" spans="3:3">
      <c r="C6861"/>
    </row>
    <row r="6862" spans="3:3">
      <c r="C6862"/>
    </row>
    <row r="6863" spans="3:3">
      <c r="C6863"/>
    </row>
    <row r="6864" spans="3:3">
      <c r="C6864"/>
    </row>
    <row r="6865" spans="3:3">
      <c r="C6865"/>
    </row>
    <row r="6866" spans="3:3">
      <c r="C6866"/>
    </row>
    <row r="6867" spans="3:3">
      <c r="C6867"/>
    </row>
    <row r="6868" spans="3:3">
      <c r="C6868"/>
    </row>
    <row r="6869" spans="3:3">
      <c r="C6869"/>
    </row>
    <row r="6870" spans="3:3">
      <c r="C6870"/>
    </row>
    <row r="6871" spans="3:3">
      <c r="C6871"/>
    </row>
    <row r="6872" spans="3:3">
      <c r="C6872"/>
    </row>
    <row r="6873" spans="3:3">
      <c r="C6873"/>
    </row>
    <row r="6874" spans="3:3">
      <c r="C6874"/>
    </row>
    <row r="6875" spans="3:3">
      <c r="C6875"/>
    </row>
    <row r="6876" spans="3:3">
      <c r="C6876"/>
    </row>
    <row r="6877" spans="3:3">
      <c r="C6877"/>
    </row>
    <row r="6878" spans="3:3">
      <c r="C6878"/>
    </row>
    <row r="6879" spans="3:3">
      <c r="C6879"/>
    </row>
    <row r="6880" spans="3:3">
      <c r="C6880"/>
    </row>
    <row r="6881" spans="3:3">
      <c r="C6881"/>
    </row>
    <row r="6882" spans="3:3">
      <c r="C6882"/>
    </row>
    <row r="6883" spans="3:3">
      <c r="C6883"/>
    </row>
    <row r="6884" spans="3:3">
      <c r="C6884"/>
    </row>
    <row r="6885" spans="3:3">
      <c r="C6885"/>
    </row>
    <row r="6886" spans="3:3">
      <c r="C6886"/>
    </row>
    <row r="6887" spans="3:3">
      <c r="C6887"/>
    </row>
    <row r="6888" spans="3:3">
      <c r="C6888"/>
    </row>
    <row r="6889" spans="3:3">
      <c r="C6889"/>
    </row>
    <row r="6890" spans="3:3">
      <c r="C6890"/>
    </row>
    <row r="6891" spans="3:3">
      <c r="C6891"/>
    </row>
    <row r="6892" spans="3:3">
      <c r="C6892"/>
    </row>
    <row r="6893" spans="3:3">
      <c r="C6893"/>
    </row>
    <row r="6894" spans="3:3">
      <c r="C6894"/>
    </row>
    <row r="6895" spans="3:3">
      <c r="C6895"/>
    </row>
    <row r="6896" spans="3:3">
      <c r="C6896"/>
    </row>
    <row r="6897" spans="3:3">
      <c r="C6897"/>
    </row>
    <row r="6898" spans="3:3">
      <c r="C6898"/>
    </row>
    <row r="6899" spans="3:3">
      <c r="C6899"/>
    </row>
    <row r="6900" spans="3:3">
      <c r="C6900"/>
    </row>
    <row r="6901" spans="3:3">
      <c r="C6901"/>
    </row>
    <row r="6902" spans="3:3">
      <c r="C6902"/>
    </row>
    <row r="6903" spans="3:3">
      <c r="C6903"/>
    </row>
    <row r="6904" spans="3:3">
      <c r="C6904"/>
    </row>
    <row r="6905" spans="3:3">
      <c r="C6905"/>
    </row>
    <row r="6906" spans="3:3">
      <c r="C6906"/>
    </row>
    <row r="6907" spans="3:3">
      <c r="C6907"/>
    </row>
    <row r="6908" spans="3:3">
      <c r="C6908"/>
    </row>
    <row r="6909" spans="3:3">
      <c r="C6909"/>
    </row>
    <row r="6910" spans="3:3">
      <c r="C6910"/>
    </row>
    <row r="6911" spans="3:3">
      <c r="C6911"/>
    </row>
    <row r="6912" spans="3:3">
      <c r="C6912"/>
    </row>
    <row r="6913" spans="3:3">
      <c r="C6913"/>
    </row>
    <row r="6914" spans="3:3">
      <c r="C6914"/>
    </row>
    <row r="6915" spans="3:3">
      <c r="C6915"/>
    </row>
    <row r="6916" spans="3:3">
      <c r="C6916"/>
    </row>
    <row r="6917" spans="3:3">
      <c r="C6917"/>
    </row>
    <row r="6918" spans="3:3">
      <c r="C6918"/>
    </row>
    <row r="6919" spans="3:3">
      <c r="C6919"/>
    </row>
    <row r="6920" spans="3:3">
      <c r="C6920"/>
    </row>
    <row r="6921" spans="3:3">
      <c r="C6921"/>
    </row>
    <row r="6922" spans="3:3">
      <c r="C6922"/>
    </row>
    <row r="6923" spans="3:3">
      <c r="C6923"/>
    </row>
    <row r="6924" spans="3:3">
      <c r="C6924"/>
    </row>
    <row r="6925" spans="3:3">
      <c r="C6925"/>
    </row>
    <row r="6926" spans="3:3">
      <c r="C6926"/>
    </row>
    <row r="6927" spans="3:3">
      <c r="C6927"/>
    </row>
    <row r="6928" spans="3:3">
      <c r="C6928"/>
    </row>
    <row r="6929" spans="3:3">
      <c r="C6929"/>
    </row>
    <row r="6930" spans="3:3">
      <c r="C6930"/>
    </row>
    <row r="6931" spans="3:3">
      <c r="C6931"/>
    </row>
    <row r="6932" spans="3:3">
      <c r="C6932"/>
    </row>
    <row r="6933" spans="3:3">
      <c r="C6933"/>
    </row>
    <row r="6934" spans="3:3">
      <c r="C6934"/>
    </row>
    <row r="6935" spans="3:3">
      <c r="C6935"/>
    </row>
    <row r="6936" spans="3:3">
      <c r="C6936"/>
    </row>
    <row r="6937" spans="3:3">
      <c r="C6937"/>
    </row>
    <row r="6938" spans="3:3">
      <c r="C6938"/>
    </row>
    <row r="6939" spans="3:3">
      <c r="C6939"/>
    </row>
    <row r="6940" spans="3:3">
      <c r="C6940"/>
    </row>
    <row r="6941" spans="3:3">
      <c r="C6941"/>
    </row>
    <row r="6942" spans="3:3">
      <c r="C6942"/>
    </row>
    <row r="6943" spans="3:3">
      <c r="C6943"/>
    </row>
    <row r="6944" spans="3:3">
      <c r="C6944"/>
    </row>
    <row r="6945" spans="3:3">
      <c r="C6945"/>
    </row>
    <row r="6946" spans="3:3">
      <c r="C6946"/>
    </row>
    <row r="6947" spans="3:3">
      <c r="C6947"/>
    </row>
    <row r="6948" spans="3:3">
      <c r="C6948"/>
    </row>
    <row r="6949" spans="3:3">
      <c r="C6949"/>
    </row>
    <row r="6950" spans="3:3">
      <c r="C6950"/>
    </row>
    <row r="6951" spans="3:3">
      <c r="C6951"/>
    </row>
    <row r="6952" spans="3:3">
      <c r="C6952"/>
    </row>
    <row r="6953" spans="3:3">
      <c r="C6953"/>
    </row>
    <row r="6954" spans="3:3">
      <c r="C6954"/>
    </row>
    <row r="6955" spans="3:3">
      <c r="C6955"/>
    </row>
    <row r="6956" spans="3:3">
      <c r="C6956"/>
    </row>
    <row r="6957" spans="3:3">
      <c r="C6957"/>
    </row>
    <row r="6958" spans="3:3">
      <c r="C6958"/>
    </row>
    <row r="6959" spans="3:3">
      <c r="C6959"/>
    </row>
    <row r="6960" spans="3:3">
      <c r="C6960"/>
    </row>
    <row r="6961" spans="3:3">
      <c r="C6961"/>
    </row>
    <row r="6962" spans="3:3">
      <c r="C6962"/>
    </row>
    <row r="6963" spans="3:3">
      <c r="C6963"/>
    </row>
    <row r="6964" spans="3:3">
      <c r="C6964"/>
    </row>
    <row r="6965" spans="3:3">
      <c r="C6965"/>
    </row>
    <row r="6966" spans="3:3">
      <c r="C6966"/>
    </row>
    <row r="6967" spans="3:3">
      <c r="C6967"/>
    </row>
    <row r="6968" spans="3:3">
      <c r="C6968"/>
    </row>
    <row r="6969" spans="3:3">
      <c r="C6969"/>
    </row>
    <row r="6970" spans="3:3">
      <c r="C6970"/>
    </row>
    <row r="6971" spans="3:3">
      <c r="C6971"/>
    </row>
    <row r="6972" spans="3:3">
      <c r="C6972"/>
    </row>
    <row r="6973" spans="3:3">
      <c r="C6973"/>
    </row>
    <row r="6974" spans="3:3">
      <c r="C6974"/>
    </row>
    <row r="6975" spans="3:3">
      <c r="C6975"/>
    </row>
    <row r="6976" spans="3:3">
      <c r="C6976"/>
    </row>
    <row r="6977" spans="3:3">
      <c r="C6977"/>
    </row>
    <row r="6978" spans="3:3">
      <c r="C6978"/>
    </row>
    <row r="6979" spans="3:3">
      <c r="C6979"/>
    </row>
    <row r="6980" spans="3:3">
      <c r="C6980"/>
    </row>
    <row r="6981" spans="3:3">
      <c r="C6981"/>
    </row>
    <row r="6982" spans="3:3">
      <c r="C6982"/>
    </row>
    <row r="6983" spans="3:3">
      <c r="C6983"/>
    </row>
    <row r="6984" spans="3:3">
      <c r="C6984"/>
    </row>
    <row r="6985" spans="3:3">
      <c r="C6985"/>
    </row>
    <row r="6986" spans="3:3">
      <c r="C6986"/>
    </row>
    <row r="6987" spans="3:3">
      <c r="C6987"/>
    </row>
    <row r="6988" spans="3:3">
      <c r="C6988"/>
    </row>
    <row r="6989" spans="3:3">
      <c r="C6989"/>
    </row>
    <row r="6990" spans="3:3">
      <c r="C6990"/>
    </row>
    <row r="6991" spans="3:3">
      <c r="C6991"/>
    </row>
    <row r="6992" spans="3:3">
      <c r="C6992"/>
    </row>
    <row r="6993" spans="3:3">
      <c r="C6993"/>
    </row>
    <row r="6994" spans="3:3">
      <c r="C6994"/>
    </row>
    <row r="6995" spans="3:3">
      <c r="C6995"/>
    </row>
    <row r="6996" spans="3:3">
      <c r="C6996"/>
    </row>
    <row r="6997" spans="3:3">
      <c r="C6997"/>
    </row>
    <row r="6998" spans="3:3">
      <c r="C6998"/>
    </row>
    <row r="6999" spans="3:3">
      <c r="C6999"/>
    </row>
    <row r="7000" spans="3:3">
      <c r="C7000"/>
    </row>
    <row r="7001" spans="3:3">
      <c r="C7001"/>
    </row>
    <row r="7002" spans="3:3">
      <c r="C7002"/>
    </row>
    <row r="7003" spans="3:3">
      <c r="C7003"/>
    </row>
    <row r="7004" spans="3:3">
      <c r="C7004"/>
    </row>
    <row r="7005" spans="3:3">
      <c r="C7005"/>
    </row>
    <row r="7006" spans="3:3">
      <c r="C7006"/>
    </row>
    <row r="7007" spans="3:3">
      <c r="C7007"/>
    </row>
    <row r="7008" spans="3:3">
      <c r="C7008"/>
    </row>
    <row r="7009" spans="3:3">
      <c r="C7009"/>
    </row>
    <row r="7010" spans="3:3">
      <c r="C7010"/>
    </row>
    <row r="7011" spans="3:3">
      <c r="C7011"/>
    </row>
    <row r="7012" spans="3:3">
      <c r="C7012"/>
    </row>
    <row r="7013" spans="3:3">
      <c r="C7013"/>
    </row>
    <row r="7014" spans="3:3">
      <c r="C7014"/>
    </row>
    <row r="7015" spans="3:3">
      <c r="C7015"/>
    </row>
    <row r="7016" spans="3:3">
      <c r="C7016"/>
    </row>
    <row r="7017" spans="3:3">
      <c r="C7017"/>
    </row>
    <row r="7018" spans="3:3">
      <c r="C7018"/>
    </row>
    <row r="7019" spans="3:3">
      <c r="C7019"/>
    </row>
    <row r="7020" spans="3:3">
      <c r="C7020"/>
    </row>
    <row r="7021" spans="3:3">
      <c r="C7021"/>
    </row>
    <row r="7022" spans="3:3">
      <c r="C7022"/>
    </row>
    <row r="7023" spans="3:3">
      <c r="C7023"/>
    </row>
    <row r="7024" spans="3:3">
      <c r="C7024"/>
    </row>
    <row r="7025" spans="3:3">
      <c r="C7025"/>
    </row>
    <row r="7026" spans="3:3">
      <c r="C7026"/>
    </row>
    <row r="7027" spans="3:3">
      <c r="C7027"/>
    </row>
    <row r="7028" spans="3:3">
      <c r="C7028"/>
    </row>
    <row r="7029" spans="3:3">
      <c r="C7029"/>
    </row>
    <row r="7030" spans="3:3">
      <c r="C7030"/>
    </row>
    <row r="7031" spans="3:3">
      <c r="C7031"/>
    </row>
    <row r="7032" spans="3:3">
      <c r="C7032"/>
    </row>
    <row r="7033" spans="3:3">
      <c r="C7033"/>
    </row>
    <row r="7034" spans="3:3">
      <c r="C7034"/>
    </row>
    <row r="7035" spans="3:3">
      <c r="C7035"/>
    </row>
    <row r="7036" spans="3:3">
      <c r="C7036"/>
    </row>
    <row r="7037" spans="3:3">
      <c r="C7037"/>
    </row>
    <row r="7038" spans="3:3">
      <c r="C7038"/>
    </row>
    <row r="7039" spans="3:3">
      <c r="C7039"/>
    </row>
    <row r="7040" spans="3:3">
      <c r="C7040"/>
    </row>
    <row r="7041" spans="3:3">
      <c r="C7041"/>
    </row>
    <row r="7042" spans="3:3">
      <c r="C7042"/>
    </row>
    <row r="7043" spans="3:3">
      <c r="C7043"/>
    </row>
    <row r="7044" spans="3:3">
      <c r="C7044"/>
    </row>
    <row r="7045" spans="3:3">
      <c r="C7045"/>
    </row>
    <row r="7046" spans="3:3">
      <c r="C7046"/>
    </row>
    <row r="7047" spans="3:3">
      <c r="C7047"/>
    </row>
    <row r="7048" spans="3:3">
      <c r="C7048"/>
    </row>
    <row r="7049" spans="3:3">
      <c r="C7049"/>
    </row>
    <row r="7050" spans="3:3">
      <c r="C7050"/>
    </row>
    <row r="7051" spans="3:3">
      <c r="C7051"/>
    </row>
    <row r="7052" spans="3:3">
      <c r="C7052"/>
    </row>
    <row r="7053" spans="3:3">
      <c r="C7053"/>
    </row>
    <row r="7054" spans="3:3">
      <c r="C7054"/>
    </row>
    <row r="7055" spans="3:3">
      <c r="C7055"/>
    </row>
    <row r="7056" spans="3:3">
      <c r="C7056"/>
    </row>
    <row r="7057" spans="3:3">
      <c r="C7057"/>
    </row>
    <row r="7058" spans="3:3">
      <c r="C7058"/>
    </row>
    <row r="7059" spans="3:3">
      <c r="C7059"/>
    </row>
    <row r="7060" spans="3:3">
      <c r="C7060"/>
    </row>
    <row r="7061" spans="3:3">
      <c r="C7061"/>
    </row>
    <row r="7062" spans="3:3">
      <c r="C7062"/>
    </row>
    <row r="7063" spans="3:3">
      <c r="C7063"/>
    </row>
    <row r="7064" spans="3:3">
      <c r="C7064"/>
    </row>
    <row r="7065" spans="3:3">
      <c r="C7065"/>
    </row>
    <row r="7066" spans="3:3">
      <c r="C7066"/>
    </row>
    <row r="7067" spans="3:3">
      <c r="C7067"/>
    </row>
    <row r="7068" spans="3:3">
      <c r="C7068"/>
    </row>
    <row r="7069" spans="3:3">
      <c r="C7069"/>
    </row>
    <row r="7070" spans="3:3">
      <c r="C7070"/>
    </row>
    <row r="7071" spans="3:3">
      <c r="C7071"/>
    </row>
    <row r="7072" spans="3:3">
      <c r="C7072"/>
    </row>
    <row r="7073" spans="3:3">
      <c r="C7073"/>
    </row>
    <row r="7074" spans="3:3">
      <c r="C7074"/>
    </row>
    <row r="7075" spans="3:3">
      <c r="C7075"/>
    </row>
    <row r="7076" spans="3:3">
      <c r="C7076"/>
    </row>
    <row r="7077" spans="3:3">
      <c r="C7077"/>
    </row>
    <row r="7078" spans="3:3">
      <c r="C7078"/>
    </row>
    <row r="7079" spans="3:3">
      <c r="C7079"/>
    </row>
    <row r="7080" spans="3:3">
      <c r="C7080"/>
    </row>
    <row r="7081" spans="3:3">
      <c r="C7081"/>
    </row>
    <row r="7082" spans="3:3">
      <c r="C7082"/>
    </row>
    <row r="7083" spans="3:3">
      <c r="C7083"/>
    </row>
    <row r="7084" spans="3:3">
      <c r="C7084"/>
    </row>
    <row r="7085" spans="3:3">
      <c r="C7085"/>
    </row>
    <row r="7086" spans="3:3">
      <c r="C7086"/>
    </row>
    <row r="7087" spans="3:3">
      <c r="C7087"/>
    </row>
    <row r="7088" spans="3:3">
      <c r="C7088"/>
    </row>
    <row r="7089" spans="3:3">
      <c r="C7089"/>
    </row>
    <row r="7090" spans="3:3">
      <c r="C7090"/>
    </row>
    <row r="7091" spans="3:3">
      <c r="C7091"/>
    </row>
    <row r="7092" spans="3:3">
      <c r="C7092"/>
    </row>
    <row r="7093" spans="3:3">
      <c r="C7093"/>
    </row>
    <row r="7094" spans="3:3">
      <c r="C7094"/>
    </row>
    <row r="7095" spans="3:3">
      <c r="C7095"/>
    </row>
    <row r="7096" spans="3:3">
      <c r="C7096"/>
    </row>
    <row r="7097" spans="3:3">
      <c r="C7097"/>
    </row>
    <row r="7098" spans="3:3">
      <c r="C7098"/>
    </row>
    <row r="7099" spans="3:3">
      <c r="C7099"/>
    </row>
    <row r="7100" spans="3:3">
      <c r="C7100"/>
    </row>
    <row r="7101" spans="3:3">
      <c r="C7101"/>
    </row>
    <row r="7102" spans="3:3">
      <c r="C7102"/>
    </row>
    <row r="7103" spans="3:3">
      <c r="C7103"/>
    </row>
    <row r="7104" spans="3:3">
      <c r="C7104"/>
    </row>
    <row r="7105" spans="3:3">
      <c r="C7105"/>
    </row>
    <row r="7106" spans="3:3">
      <c r="C7106"/>
    </row>
    <row r="7107" spans="3:3">
      <c r="C7107"/>
    </row>
    <row r="7108" spans="3:3">
      <c r="C7108"/>
    </row>
    <row r="7109" spans="3:3">
      <c r="C7109"/>
    </row>
    <row r="7110" spans="3:3">
      <c r="C7110"/>
    </row>
    <row r="7111" spans="3:3">
      <c r="C7111"/>
    </row>
    <row r="7112" spans="3:3">
      <c r="C7112"/>
    </row>
    <row r="7113" spans="3:3">
      <c r="C7113"/>
    </row>
    <row r="7114" spans="3:3">
      <c r="C7114"/>
    </row>
    <row r="7115" spans="3:3">
      <c r="C7115"/>
    </row>
    <row r="7116" spans="3:3">
      <c r="C7116"/>
    </row>
    <row r="7117" spans="3:3">
      <c r="C7117"/>
    </row>
    <row r="7118" spans="3:3">
      <c r="C7118"/>
    </row>
    <row r="7119" spans="3:3">
      <c r="C7119"/>
    </row>
    <row r="7120" spans="3:3">
      <c r="C7120"/>
    </row>
    <row r="7121" spans="3:3">
      <c r="C7121"/>
    </row>
    <row r="7122" spans="3:3">
      <c r="C7122"/>
    </row>
    <row r="7123" spans="3:3">
      <c r="C7123"/>
    </row>
    <row r="7124" spans="3:3">
      <c r="C7124"/>
    </row>
    <row r="7125" spans="3:3">
      <c r="C7125"/>
    </row>
    <row r="7126" spans="3:3">
      <c r="C7126"/>
    </row>
    <row r="7127" spans="3:3">
      <c r="C7127"/>
    </row>
    <row r="7128" spans="3:3">
      <c r="C7128"/>
    </row>
    <row r="7129" spans="3:3">
      <c r="C7129"/>
    </row>
    <row r="7130" spans="3:3">
      <c r="C7130"/>
    </row>
    <row r="7131" spans="3:3">
      <c r="C7131"/>
    </row>
    <row r="7132" spans="3:3">
      <c r="C7132"/>
    </row>
    <row r="7133" spans="3:3">
      <c r="C7133"/>
    </row>
    <row r="7134" spans="3:3">
      <c r="C7134"/>
    </row>
    <row r="7135" spans="3:3">
      <c r="C7135"/>
    </row>
    <row r="7136" spans="3:3">
      <c r="C7136"/>
    </row>
    <row r="7137" spans="3:3">
      <c r="C7137"/>
    </row>
    <row r="7138" spans="3:3">
      <c r="C7138"/>
    </row>
    <row r="7139" spans="3:3">
      <c r="C7139"/>
    </row>
    <row r="7140" spans="3:3">
      <c r="C7140"/>
    </row>
    <row r="7141" spans="3:3">
      <c r="C7141"/>
    </row>
    <row r="7142" spans="3:3">
      <c r="C7142"/>
    </row>
    <row r="7143" spans="3:3">
      <c r="C7143"/>
    </row>
    <row r="7144" spans="3:3">
      <c r="C7144"/>
    </row>
    <row r="7145" spans="3:3">
      <c r="C7145"/>
    </row>
    <row r="7146" spans="3:3">
      <c r="C7146"/>
    </row>
    <row r="7147" spans="3:3">
      <c r="C7147"/>
    </row>
    <row r="7148" spans="3:3">
      <c r="C7148"/>
    </row>
    <row r="7149" spans="3:3">
      <c r="C7149"/>
    </row>
    <row r="7150" spans="3:3">
      <c r="C7150"/>
    </row>
    <row r="7151" spans="3:3">
      <c r="C7151"/>
    </row>
    <row r="7152" spans="3:3">
      <c r="C7152"/>
    </row>
    <row r="7153" spans="3:3">
      <c r="C7153"/>
    </row>
    <row r="7154" spans="3:3">
      <c r="C7154"/>
    </row>
    <row r="7155" spans="3:3">
      <c r="C7155"/>
    </row>
    <row r="7156" spans="3:3">
      <c r="C7156"/>
    </row>
    <row r="7157" spans="3:3">
      <c r="C7157"/>
    </row>
    <row r="7158" spans="3:3">
      <c r="C7158"/>
    </row>
    <row r="7159" spans="3:3">
      <c r="C7159"/>
    </row>
    <row r="7160" spans="3:3">
      <c r="C7160"/>
    </row>
    <row r="7161" spans="3:3">
      <c r="C7161"/>
    </row>
    <row r="7162" spans="3:3">
      <c r="C7162"/>
    </row>
    <row r="7163" spans="3:3">
      <c r="C7163"/>
    </row>
    <row r="7164" spans="3:3">
      <c r="C7164"/>
    </row>
    <row r="7165" spans="3:3">
      <c r="C7165"/>
    </row>
    <row r="7166" spans="3:3">
      <c r="C7166"/>
    </row>
    <row r="7167" spans="3:3">
      <c r="C7167"/>
    </row>
    <row r="7168" spans="3:3">
      <c r="C7168"/>
    </row>
    <row r="7169" spans="3:3">
      <c r="C7169"/>
    </row>
    <row r="7170" spans="3:3">
      <c r="C7170"/>
    </row>
    <row r="7171" spans="3:3">
      <c r="C7171"/>
    </row>
    <row r="7172" spans="3:3">
      <c r="C7172"/>
    </row>
    <row r="7173" spans="3:3">
      <c r="C7173"/>
    </row>
    <row r="7174" spans="3:3">
      <c r="C7174"/>
    </row>
    <row r="7175" spans="3:3">
      <c r="C7175"/>
    </row>
    <row r="7176" spans="3:3">
      <c r="C7176"/>
    </row>
    <row r="7177" spans="3:3">
      <c r="C7177"/>
    </row>
    <row r="7178" spans="3:3">
      <c r="C7178"/>
    </row>
    <row r="7179" spans="3:3">
      <c r="C7179"/>
    </row>
    <row r="7180" spans="3:3">
      <c r="C7180"/>
    </row>
    <row r="7181" spans="3:3">
      <c r="C7181"/>
    </row>
    <row r="7182" spans="3:3">
      <c r="C7182"/>
    </row>
    <row r="7183" spans="3:3">
      <c r="C7183"/>
    </row>
    <row r="7184" spans="3:3">
      <c r="C7184"/>
    </row>
    <row r="7185" spans="3:3">
      <c r="C7185"/>
    </row>
    <row r="7186" spans="3:3">
      <c r="C7186"/>
    </row>
    <row r="7187" spans="3:3">
      <c r="C7187"/>
    </row>
    <row r="7188" spans="3:3">
      <c r="C7188"/>
    </row>
    <row r="7189" spans="3:3">
      <c r="C7189"/>
    </row>
    <row r="7190" spans="3:3">
      <c r="C7190"/>
    </row>
    <row r="7191" spans="3:3">
      <c r="C7191"/>
    </row>
    <row r="7192" spans="3:3">
      <c r="C7192"/>
    </row>
    <row r="7193" spans="3:3">
      <c r="C7193"/>
    </row>
    <row r="7194" spans="3:3">
      <c r="C7194"/>
    </row>
    <row r="7195" spans="3:3">
      <c r="C7195"/>
    </row>
    <row r="7196" spans="3:3">
      <c r="C7196"/>
    </row>
    <row r="7197" spans="3:3">
      <c r="C7197"/>
    </row>
    <row r="7198" spans="3:3">
      <c r="C7198"/>
    </row>
    <row r="7199" spans="3:3">
      <c r="C7199"/>
    </row>
    <row r="7200" spans="3:3">
      <c r="C7200"/>
    </row>
    <row r="7201" spans="3:3">
      <c r="C7201"/>
    </row>
    <row r="7202" spans="3:3">
      <c r="C7202"/>
    </row>
    <row r="7203" spans="3:3">
      <c r="C7203"/>
    </row>
    <row r="7204" spans="3:3">
      <c r="C7204"/>
    </row>
    <row r="7205" spans="3:3">
      <c r="C7205"/>
    </row>
    <row r="7206" spans="3:3">
      <c r="C7206"/>
    </row>
    <row r="7207" spans="3:3">
      <c r="C7207"/>
    </row>
    <row r="7208" spans="3:3">
      <c r="C7208"/>
    </row>
    <row r="7209" spans="3:3">
      <c r="C7209"/>
    </row>
    <row r="7210" spans="3:3">
      <c r="C7210"/>
    </row>
    <row r="7211" spans="3:3">
      <c r="C7211"/>
    </row>
    <row r="7212" spans="3:3">
      <c r="C7212"/>
    </row>
    <row r="7213" spans="3:3">
      <c r="C7213"/>
    </row>
    <row r="7214" spans="3:3">
      <c r="C7214"/>
    </row>
    <row r="7215" spans="3:3">
      <c r="C7215"/>
    </row>
    <row r="7216" spans="3:3">
      <c r="C7216"/>
    </row>
    <row r="7217" spans="3:3">
      <c r="C7217"/>
    </row>
    <row r="7218" spans="3:3">
      <c r="C7218"/>
    </row>
    <row r="7219" spans="3:3">
      <c r="C7219"/>
    </row>
    <row r="7220" spans="3:3">
      <c r="C7220"/>
    </row>
    <row r="7221" spans="3:3">
      <c r="C7221"/>
    </row>
    <row r="7222" spans="3:3">
      <c r="C7222"/>
    </row>
    <row r="7223" spans="3:3">
      <c r="C7223"/>
    </row>
    <row r="7224" spans="3:3">
      <c r="C7224"/>
    </row>
    <row r="7225" spans="3:3">
      <c r="C7225"/>
    </row>
    <row r="7226" spans="3:3">
      <c r="C7226"/>
    </row>
    <row r="7227" spans="3:3">
      <c r="C7227"/>
    </row>
    <row r="7228" spans="3:3">
      <c r="C7228"/>
    </row>
    <row r="7229" spans="3:3">
      <c r="C7229"/>
    </row>
    <row r="7230" spans="3:3">
      <c r="C7230"/>
    </row>
    <row r="7231" spans="3:3">
      <c r="C7231"/>
    </row>
    <row r="7232" spans="3:3">
      <c r="C7232"/>
    </row>
    <row r="7233" spans="3:3">
      <c r="C7233"/>
    </row>
    <row r="7234" spans="3:3">
      <c r="C7234"/>
    </row>
    <row r="7235" spans="3:3">
      <c r="C7235"/>
    </row>
    <row r="7236" spans="3:3">
      <c r="C7236"/>
    </row>
    <row r="7237" spans="3:3">
      <c r="C7237"/>
    </row>
    <row r="7238" spans="3:3">
      <c r="C7238"/>
    </row>
    <row r="7239" spans="3:3">
      <c r="C7239"/>
    </row>
    <row r="7240" spans="3:3">
      <c r="C7240"/>
    </row>
    <row r="7241" spans="3:3">
      <c r="C7241"/>
    </row>
    <row r="7242" spans="3:3">
      <c r="C7242"/>
    </row>
    <row r="7243" spans="3:3">
      <c r="C7243"/>
    </row>
    <row r="7244" spans="3:3">
      <c r="C7244"/>
    </row>
    <row r="7245" spans="3:3">
      <c r="C7245"/>
    </row>
    <row r="7246" spans="3:3">
      <c r="C7246"/>
    </row>
    <row r="7247" spans="3:3">
      <c r="C7247"/>
    </row>
    <row r="7248" spans="3:3">
      <c r="C7248"/>
    </row>
    <row r="7249" spans="3:3">
      <c r="C7249"/>
    </row>
    <row r="7250" spans="3:3">
      <c r="C7250"/>
    </row>
    <row r="7251" spans="3:3">
      <c r="C7251"/>
    </row>
    <row r="7252" spans="3:3">
      <c r="C7252"/>
    </row>
    <row r="7253" spans="3:3">
      <c r="C7253"/>
    </row>
    <row r="7254" spans="3:3">
      <c r="C7254"/>
    </row>
    <row r="7255" spans="3:3">
      <c r="C7255"/>
    </row>
    <row r="7256" spans="3:3">
      <c r="C7256"/>
    </row>
    <row r="7257" spans="3:3">
      <c r="C7257"/>
    </row>
    <row r="7258" spans="3:3">
      <c r="C7258"/>
    </row>
    <row r="7259" spans="3:3">
      <c r="C7259"/>
    </row>
    <row r="7260" spans="3:3">
      <c r="C7260"/>
    </row>
    <row r="7261" spans="3:3">
      <c r="C7261"/>
    </row>
    <row r="7262" spans="3:3">
      <c r="C7262"/>
    </row>
    <row r="7263" spans="3:3">
      <c r="C7263"/>
    </row>
    <row r="7264" spans="3:3">
      <c r="C7264"/>
    </row>
    <row r="7265" spans="3:3">
      <c r="C7265"/>
    </row>
    <row r="7266" spans="3:3">
      <c r="C7266"/>
    </row>
    <row r="7267" spans="3:3">
      <c r="C7267"/>
    </row>
    <row r="7268" spans="3:3">
      <c r="C7268"/>
    </row>
    <row r="7269" spans="3:3">
      <c r="C7269"/>
    </row>
    <row r="7270" spans="3:3">
      <c r="C7270"/>
    </row>
    <row r="7271" spans="3:3">
      <c r="C7271"/>
    </row>
    <row r="7272" spans="3:3">
      <c r="C7272"/>
    </row>
    <row r="7273" spans="3:3">
      <c r="C7273"/>
    </row>
    <row r="7274" spans="3:3">
      <c r="C7274"/>
    </row>
    <row r="7275" spans="3:3">
      <c r="C7275"/>
    </row>
    <row r="7276" spans="3:3">
      <c r="C7276"/>
    </row>
    <row r="7277" spans="3:3">
      <c r="C7277"/>
    </row>
    <row r="7278" spans="3:3">
      <c r="C7278"/>
    </row>
    <row r="7279" spans="3:3">
      <c r="C7279"/>
    </row>
    <row r="7280" spans="3:3">
      <c r="C7280"/>
    </row>
    <row r="7281" spans="3:3">
      <c r="C7281"/>
    </row>
    <row r="7282" spans="3:3">
      <c r="C7282"/>
    </row>
    <row r="7283" spans="3:3">
      <c r="C7283"/>
    </row>
    <row r="7284" spans="3:3">
      <c r="C7284"/>
    </row>
    <row r="7285" spans="3:3">
      <c r="C7285"/>
    </row>
    <row r="7286" spans="3:3">
      <c r="C7286"/>
    </row>
    <row r="7287" spans="3:3">
      <c r="C7287"/>
    </row>
    <row r="7288" spans="3:3">
      <c r="C7288"/>
    </row>
    <row r="7289" spans="3:3">
      <c r="C7289"/>
    </row>
    <row r="7290" spans="3:3">
      <c r="C7290"/>
    </row>
    <row r="7291" spans="3:3">
      <c r="C7291"/>
    </row>
    <row r="7292" spans="3:3">
      <c r="C7292"/>
    </row>
    <row r="7293" spans="3:3">
      <c r="C7293"/>
    </row>
    <row r="7294" spans="3:3">
      <c r="C7294"/>
    </row>
    <row r="7295" spans="3:3">
      <c r="C7295"/>
    </row>
    <row r="7296" spans="3:3">
      <c r="C7296"/>
    </row>
    <row r="7297" spans="3:3">
      <c r="C7297"/>
    </row>
    <row r="7298" spans="3:3">
      <c r="C7298"/>
    </row>
    <row r="7299" spans="3:3">
      <c r="C7299"/>
    </row>
    <row r="7300" spans="3:3">
      <c r="C7300"/>
    </row>
    <row r="7301" spans="3:3">
      <c r="C7301"/>
    </row>
    <row r="7302" spans="3:3">
      <c r="C7302"/>
    </row>
    <row r="7303" spans="3:3">
      <c r="C7303"/>
    </row>
    <row r="7304" spans="3:3">
      <c r="C7304"/>
    </row>
    <row r="7305" spans="3:3">
      <c r="C7305"/>
    </row>
    <row r="7306" spans="3:3">
      <c r="C7306"/>
    </row>
    <row r="7307" spans="3:3">
      <c r="C7307"/>
    </row>
    <row r="7308" spans="3:3">
      <c r="C7308"/>
    </row>
    <row r="7309" spans="3:3">
      <c r="C7309"/>
    </row>
    <row r="7310" spans="3:3">
      <c r="C7310"/>
    </row>
    <row r="7311" spans="3:3">
      <c r="C7311"/>
    </row>
    <row r="7312" spans="3:3">
      <c r="C7312"/>
    </row>
    <row r="7313" spans="3:3">
      <c r="C7313"/>
    </row>
    <row r="7314" spans="3:3">
      <c r="C7314"/>
    </row>
    <row r="7315" spans="3:3">
      <c r="C7315"/>
    </row>
    <row r="7316" spans="3:3">
      <c r="C7316"/>
    </row>
    <row r="7317" spans="3:3">
      <c r="C7317"/>
    </row>
    <row r="7318" spans="3:3">
      <c r="C7318"/>
    </row>
    <row r="7319" spans="3:3">
      <c r="C7319"/>
    </row>
    <row r="7320" spans="3:3">
      <c r="C7320"/>
    </row>
    <row r="7321" spans="3:3">
      <c r="C7321"/>
    </row>
    <row r="7322" spans="3:3">
      <c r="C7322"/>
    </row>
    <row r="7323" spans="3:3">
      <c r="C7323"/>
    </row>
    <row r="7324" spans="3:3">
      <c r="C7324"/>
    </row>
    <row r="7325" spans="3:3">
      <c r="C7325"/>
    </row>
    <row r="7326" spans="3:3">
      <c r="C7326"/>
    </row>
    <row r="7327" spans="3:3">
      <c r="C7327"/>
    </row>
    <row r="7328" spans="3:3">
      <c r="C7328"/>
    </row>
    <row r="7329" spans="3:3">
      <c r="C7329"/>
    </row>
    <row r="7330" spans="3:3">
      <c r="C7330"/>
    </row>
    <row r="7331" spans="3:3">
      <c r="C7331"/>
    </row>
    <row r="7332" spans="3:3">
      <c r="C7332"/>
    </row>
    <row r="7333" spans="3:3">
      <c r="C7333"/>
    </row>
    <row r="7334" spans="3:3">
      <c r="C7334"/>
    </row>
    <row r="7335" spans="3:3">
      <c r="C7335"/>
    </row>
    <row r="7336" spans="3:3">
      <c r="C7336"/>
    </row>
    <row r="7337" spans="3:3">
      <c r="C7337"/>
    </row>
    <row r="7338" spans="3:3">
      <c r="C7338"/>
    </row>
    <row r="7339" spans="3:3">
      <c r="C7339"/>
    </row>
    <row r="7340" spans="3:3">
      <c r="C7340"/>
    </row>
    <row r="7341" spans="3:3">
      <c r="C7341"/>
    </row>
    <row r="7342" spans="3:3">
      <c r="C7342"/>
    </row>
    <row r="7343" spans="3:3">
      <c r="C7343"/>
    </row>
    <row r="7344" spans="3:3">
      <c r="C7344"/>
    </row>
    <row r="7345" spans="3:3">
      <c r="C7345"/>
    </row>
    <row r="7346" spans="3:3">
      <c r="C7346"/>
    </row>
    <row r="7347" spans="3:3">
      <c r="C7347"/>
    </row>
    <row r="7348" spans="3:3">
      <c r="C7348"/>
    </row>
    <row r="7349" spans="3:3">
      <c r="C7349"/>
    </row>
    <row r="7350" spans="3:3">
      <c r="C7350"/>
    </row>
    <row r="7351" spans="3:3">
      <c r="C7351"/>
    </row>
    <row r="7352" spans="3:3">
      <c r="C7352"/>
    </row>
    <row r="7353" spans="3:3">
      <c r="C7353"/>
    </row>
    <row r="7354" spans="3:3">
      <c r="C7354"/>
    </row>
    <row r="7355" spans="3:3">
      <c r="C7355"/>
    </row>
    <row r="7356" spans="3:3">
      <c r="C7356"/>
    </row>
    <row r="7357" spans="3:3">
      <c r="C7357"/>
    </row>
    <row r="7358" spans="3:3">
      <c r="C7358"/>
    </row>
    <row r="7359" spans="3:3">
      <c r="C7359"/>
    </row>
    <row r="7360" spans="3:3">
      <c r="C7360"/>
    </row>
    <row r="7361" spans="3:3">
      <c r="C7361"/>
    </row>
    <row r="7362" spans="3:3">
      <c r="C7362"/>
    </row>
    <row r="7363" spans="3:3">
      <c r="C7363"/>
    </row>
    <row r="7364" spans="3:3">
      <c r="C7364"/>
    </row>
    <row r="7365" spans="3:3">
      <c r="C7365"/>
    </row>
    <row r="7366" spans="3:3">
      <c r="C7366"/>
    </row>
    <row r="7367" spans="3:3">
      <c r="C7367"/>
    </row>
    <row r="7368" spans="3:3">
      <c r="C7368"/>
    </row>
    <row r="7369" spans="3:3">
      <c r="C7369"/>
    </row>
    <row r="7370" spans="3:3">
      <c r="C7370"/>
    </row>
    <row r="7371" spans="3:3">
      <c r="C7371"/>
    </row>
    <row r="7372" spans="3:3">
      <c r="C7372"/>
    </row>
    <row r="7373" spans="3:3">
      <c r="C7373"/>
    </row>
    <row r="7374" spans="3:3">
      <c r="C7374"/>
    </row>
    <row r="7375" spans="3:3">
      <c r="C7375"/>
    </row>
    <row r="7376" spans="3:3">
      <c r="C7376"/>
    </row>
    <row r="7377" spans="3:3">
      <c r="C7377"/>
    </row>
    <row r="7378" spans="3:3">
      <c r="C7378"/>
    </row>
    <row r="7379" spans="3:3">
      <c r="C7379"/>
    </row>
    <row r="7380" spans="3:3">
      <c r="C7380"/>
    </row>
    <row r="7381" spans="3:3">
      <c r="C7381"/>
    </row>
    <row r="7382" spans="3:3">
      <c r="C7382"/>
    </row>
    <row r="7383" spans="3:3">
      <c r="C7383"/>
    </row>
    <row r="7384" spans="3:3">
      <c r="C7384"/>
    </row>
    <row r="7385" spans="3:3">
      <c r="C7385"/>
    </row>
    <row r="7386" spans="3:3">
      <c r="C7386"/>
    </row>
    <row r="7387" spans="3:3">
      <c r="C7387"/>
    </row>
    <row r="7388" spans="3:3">
      <c r="C7388"/>
    </row>
    <row r="7389" spans="3:3">
      <c r="C7389"/>
    </row>
    <row r="7390" spans="3:3">
      <c r="C7390"/>
    </row>
    <row r="7391" spans="3:3">
      <c r="C7391"/>
    </row>
    <row r="7392" spans="3:3">
      <c r="C7392"/>
    </row>
    <row r="7393" spans="3:3">
      <c r="C7393"/>
    </row>
    <row r="7394" spans="3:3">
      <c r="C7394"/>
    </row>
    <row r="7395" spans="3:3">
      <c r="C7395"/>
    </row>
    <row r="7396" spans="3:3">
      <c r="C7396"/>
    </row>
    <row r="7397" spans="3:3">
      <c r="C7397"/>
    </row>
    <row r="7398" spans="3:3">
      <c r="C7398"/>
    </row>
    <row r="7399" spans="3:3">
      <c r="C7399"/>
    </row>
    <row r="7400" spans="3:3">
      <c r="C7400"/>
    </row>
    <row r="7401" spans="3:3">
      <c r="C7401"/>
    </row>
    <row r="7402" spans="3:3">
      <c r="C7402"/>
    </row>
    <row r="7403" spans="3:3">
      <c r="C7403"/>
    </row>
    <row r="7404" spans="3:3">
      <c r="C7404"/>
    </row>
    <row r="7405" spans="3:3">
      <c r="C7405"/>
    </row>
    <row r="7406" spans="3:3">
      <c r="C7406"/>
    </row>
    <row r="7407" spans="3:3">
      <c r="C7407"/>
    </row>
    <row r="7408" spans="3:3">
      <c r="C7408"/>
    </row>
    <row r="7409" spans="3:3">
      <c r="C7409"/>
    </row>
    <row r="7410" spans="3:3">
      <c r="C7410"/>
    </row>
    <row r="7411" spans="3:3">
      <c r="C7411"/>
    </row>
    <row r="7412" spans="3:3">
      <c r="C7412"/>
    </row>
    <row r="7413" spans="3:3">
      <c r="C7413"/>
    </row>
    <row r="7414" spans="3:3">
      <c r="C7414"/>
    </row>
    <row r="7415" spans="3:3">
      <c r="C7415"/>
    </row>
    <row r="7416" spans="3:3">
      <c r="C7416"/>
    </row>
    <row r="7417" spans="3:3">
      <c r="C7417"/>
    </row>
    <row r="7418" spans="3:3">
      <c r="C7418"/>
    </row>
    <row r="7419" spans="3:3">
      <c r="C7419"/>
    </row>
    <row r="7420" spans="3:3">
      <c r="C7420"/>
    </row>
    <row r="7421" spans="3:3">
      <c r="C7421"/>
    </row>
    <row r="7422" spans="3:3">
      <c r="C7422"/>
    </row>
    <row r="7423" spans="3:3">
      <c r="C7423"/>
    </row>
    <row r="7424" spans="3:3">
      <c r="C7424"/>
    </row>
    <row r="7425" spans="3:3">
      <c r="C7425"/>
    </row>
    <row r="7426" spans="3:3">
      <c r="C7426"/>
    </row>
    <row r="7427" spans="3:3">
      <c r="C7427"/>
    </row>
    <row r="7428" spans="3:3">
      <c r="C7428"/>
    </row>
    <row r="7429" spans="3:3">
      <c r="C7429"/>
    </row>
    <row r="7430" spans="3:3">
      <c r="C7430"/>
    </row>
    <row r="7431" spans="3:3">
      <c r="C7431"/>
    </row>
    <row r="7432" spans="3:3">
      <c r="C7432"/>
    </row>
    <row r="7433" spans="3:3">
      <c r="C7433"/>
    </row>
    <row r="7434" spans="3:3">
      <c r="C7434"/>
    </row>
    <row r="7435" spans="3:3">
      <c r="C7435"/>
    </row>
    <row r="7436" spans="3:3">
      <c r="C7436"/>
    </row>
    <row r="7437" spans="3:3">
      <c r="C7437"/>
    </row>
    <row r="7438" spans="3:3">
      <c r="C7438"/>
    </row>
    <row r="7439" spans="3:3">
      <c r="C7439"/>
    </row>
    <row r="7440" spans="3:3">
      <c r="C7440"/>
    </row>
    <row r="7441" spans="3:3">
      <c r="C7441"/>
    </row>
    <row r="7442" spans="3:3">
      <c r="C7442"/>
    </row>
    <row r="7443" spans="3:3">
      <c r="C7443"/>
    </row>
    <row r="7444" spans="3:3">
      <c r="C7444"/>
    </row>
    <row r="7445" spans="3:3">
      <c r="C7445"/>
    </row>
    <row r="7446" spans="3:3">
      <c r="C7446"/>
    </row>
    <row r="7447" spans="3:3">
      <c r="C7447"/>
    </row>
    <row r="7448" spans="3:3">
      <c r="C7448"/>
    </row>
    <row r="7449" spans="3:3">
      <c r="C7449"/>
    </row>
    <row r="7450" spans="3:3">
      <c r="C7450"/>
    </row>
    <row r="7451" spans="3:3">
      <c r="C7451"/>
    </row>
    <row r="7452" spans="3:3">
      <c r="C7452"/>
    </row>
    <row r="7453" spans="3:3">
      <c r="C7453"/>
    </row>
    <row r="7454" spans="3:3">
      <c r="C7454"/>
    </row>
    <row r="7455" spans="3:3">
      <c r="C7455"/>
    </row>
    <row r="7456" spans="3:3">
      <c r="C7456"/>
    </row>
    <row r="7457" spans="3:3">
      <c r="C7457"/>
    </row>
    <row r="7458" spans="3:3">
      <c r="C7458"/>
    </row>
    <row r="7459" spans="3:3">
      <c r="C7459"/>
    </row>
    <row r="7460" spans="3:3">
      <c r="C7460"/>
    </row>
    <row r="7461" spans="3:3">
      <c r="C7461"/>
    </row>
    <row r="7462" spans="3:3">
      <c r="C7462"/>
    </row>
    <row r="7463" spans="3:3">
      <c r="C7463"/>
    </row>
    <row r="7464" spans="3:3">
      <c r="C7464"/>
    </row>
    <row r="7465" spans="3:3">
      <c r="C7465"/>
    </row>
    <row r="7466" spans="3:3">
      <c r="C7466"/>
    </row>
    <row r="7467" spans="3:3">
      <c r="C7467"/>
    </row>
    <row r="7468" spans="3:3">
      <c r="C7468"/>
    </row>
    <row r="7469" spans="3:3">
      <c r="C7469"/>
    </row>
    <row r="7470" spans="3:3">
      <c r="C7470"/>
    </row>
    <row r="7471" spans="3:3">
      <c r="C7471"/>
    </row>
    <row r="7472" spans="3:3">
      <c r="C7472"/>
    </row>
    <row r="7473" spans="3:3">
      <c r="C7473"/>
    </row>
    <row r="7474" spans="3:3">
      <c r="C7474"/>
    </row>
    <row r="7475" spans="3:3">
      <c r="C7475"/>
    </row>
    <row r="7476" spans="3:3">
      <c r="C7476"/>
    </row>
    <row r="7477" spans="3:3">
      <c r="C7477"/>
    </row>
    <row r="7478" spans="3:3">
      <c r="C7478"/>
    </row>
    <row r="7479" spans="3:3">
      <c r="C7479"/>
    </row>
    <row r="7480" spans="3:3">
      <c r="C7480"/>
    </row>
    <row r="7481" spans="3:3">
      <c r="C7481"/>
    </row>
    <row r="7482" spans="3:3">
      <c r="C7482"/>
    </row>
    <row r="7483" spans="3:3">
      <c r="C7483"/>
    </row>
    <row r="7484" spans="3:3">
      <c r="C7484"/>
    </row>
    <row r="7485" spans="3:3">
      <c r="C7485"/>
    </row>
    <row r="7486" spans="3:3">
      <c r="C7486"/>
    </row>
    <row r="7487" spans="3:3">
      <c r="C7487"/>
    </row>
    <row r="7488" spans="3:3">
      <c r="C7488"/>
    </row>
    <row r="7489" spans="3:3">
      <c r="C7489"/>
    </row>
    <row r="7490" spans="3:3">
      <c r="C7490"/>
    </row>
    <row r="7491" spans="3:3">
      <c r="C7491"/>
    </row>
    <row r="7492" spans="3:3">
      <c r="C7492"/>
    </row>
    <row r="7493" spans="3:3">
      <c r="C7493"/>
    </row>
    <row r="7494" spans="3:3">
      <c r="C7494"/>
    </row>
    <row r="7495" spans="3:3">
      <c r="C7495"/>
    </row>
    <row r="7496" spans="3:3">
      <c r="C7496"/>
    </row>
    <row r="7497" spans="3:3">
      <c r="C7497"/>
    </row>
    <row r="7498" spans="3:3">
      <c r="C7498"/>
    </row>
    <row r="7499" spans="3:3">
      <c r="C7499"/>
    </row>
    <row r="7500" spans="3:3">
      <c r="C7500"/>
    </row>
    <row r="7501" spans="3:3">
      <c r="C7501"/>
    </row>
    <row r="7502" spans="3:3">
      <c r="C7502"/>
    </row>
    <row r="7503" spans="3:3">
      <c r="C7503"/>
    </row>
    <row r="7504" spans="3:3">
      <c r="C7504"/>
    </row>
    <row r="7505" spans="3:3">
      <c r="C7505"/>
    </row>
    <row r="7506" spans="3:3">
      <c r="C7506"/>
    </row>
    <row r="7507" spans="3:3">
      <c r="C7507"/>
    </row>
    <row r="7508" spans="3:3">
      <c r="C7508"/>
    </row>
    <row r="7509" spans="3:3">
      <c r="C7509"/>
    </row>
    <row r="7510" spans="3:3">
      <c r="C7510"/>
    </row>
    <row r="7511" spans="3:3">
      <c r="C7511"/>
    </row>
    <row r="7512" spans="3:3">
      <c r="C7512"/>
    </row>
    <row r="7513" spans="3:3">
      <c r="C7513"/>
    </row>
    <row r="7514" spans="3:3">
      <c r="C7514"/>
    </row>
    <row r="7515" spans="3:3">
      <c r="C7515"/>
    </row>
    <row r="7516" spans="3:3">
      <c r="C7516"/>
    </row>
    <row r="7517" spans="3:3">
      <c r="C7517"/>
    </row>
    <row r="7518" spans="3:3">
      <c r="C7518"/>
    </row>
    <row r="7519" spans="3:3">
      <c r="C7519"/>
    </row>
    <row r="7520" spans="3:3">
      <c r="C7520"/>
    </row>
    <row r="7521" spans="3:3">
      <c r="C7521"/>
    </row>
    <row r="7522" spans="3:3">
      <c r="C7522"/>
    </row>
    <row r="7523" spans="3:3">
      <c r="C7523"/>
    </row>
    <row r="7524" spans="3:3">
      <c r="C7524"/>
    </row>
    <row r="7525" spans="3:3">
      <c r="C7525"/>
    </row>
    <row r="7526" spans="3:3">
      <c r="C7526"/>
    </row>
    <row r="7527" spans="3:3">
      <c r="C7527"/>
    </row>
    <row r="7528" spans="3:3">
      <c r="C7528"/>
    </row>
    <row r="7529" spans="3:3">
      <c r="C7529"/>
    </row>
    <row r="7530" spans="3:3">
      <c r="C7530"/>
    </row>
    <row r="7531" spans="3:3">
      <c r="C7531"/>
    </row>
    <row r="7532" spans="3:3">
      <c r="C7532"/>
    </row>
    <row r="7533" spans="3:3">
      <c r="C7533"/>
    </row>
    <row r="7534" spans="3:3">
      <c r="C7534"/>
    </row>
    <row r="7535" spans="3:3">
      <c r="C7535"/>
    </row>
    <row r="7536" spans="3:3">
      <c r="C7536"/>
    </row>
    <row r="7537" spans="3:3">
      <c r="C7537"/>
    </row>
    <row r="7538" spans="3:3">
      <c r="C7538"/>
    </row>
    <row r="7539" spans="3:3">
      <c r="C7539"/>
    </row>
    <row r="7540" spans="3:3">
      <c r="C7540"/>
    </row>
    <row r="7541" spans="3:3">
      <c r="C7541"/>
    </row>
    <row r="7542" spans="3:3">
      <c r="C7542"/>
    </row>
    <row r="7543" spans="3:3">
      <c r="C7543"/>
    </row>
    <row r="7544" spans="3:3">
      <c r="C7544"/>
    </row>
    <row r="7545" spans="3:3">
      <c r="C7545"/>
    </row>
    <row r="7546" spans="3:3">
      <c r="C7546"/>
    </row>
    <row r="7547" spans="3:3">
      <c r="C7547"/>
    </row>
    <row r="7548" spans="3:3">
      <c r="C7548"/>
    </row>
    <row r="7549" spans="3:3">
      <c r="C7549"/>
    </row>
    <row r="7550" spans="3:3">
      <c r="C7550"/>
    </row>
    <row r="7551" spans="3:3">
      <c r="C7551"/>
    </row>
    <row r="7552" spans="3:3">
      <c r="C7552"/>
    </row>
    <row r="7553" spans="3:3">
      <c r="C7553"/>
    </row>
    <row r="7554" spans="3:3">
      <c r="C7554"/>
    </row>
    <row r="7555" spans="3:3">
      <c r="C7555"/>
    </row>
    <row r="7556" spans="3:3">
      <c r="C7556"/>
    </row>
    <row r="7557" spans="3:3">
      <c r="C7557"/>
    </row>
    <row r="7558" spans="3:3">
      <c r="C7558"/>
    </row>
    <row r="7559" spans="3:3">
      <c r="C7559"/>
    </row>
    <row r="7560" spans="3:3">
      <c r="C7560"/>
    </row>
    <row r="7561" spans="3:3">
      <c r="C7561"/>
    </row>
    <row r="7562" spans="3:3">
      <c r="C7562"/>
    </row>
    <row r="7563" spans="3:3">
      <c r="C7563"/>
    </row>
    <row r="7564" spans="3:3">
      <c r="C7564"/>
    </row>
    <row r="7565" spans="3:3">
      <c r="C7565"/>
    </row>
    <row r="7566" spans="3:3">
      <c r="C7566"/>
    </row>
    <row r="7567" spans="3:3">
      <c r="C7567"/>
    </row>
    <row r="7568" spans="3:3">
      <c r="C7568"/>
    </row>
    <row r="7569" spans="3:3">
      <c r="C7569"/>
    </row>
    <row r="7570" spans="3:3">
      <c r="C7570"/>
    </row>
    <row r="7571" spans="3:3">
      <c r="C7571"/>
    </row>
    <row r="7572" spans="3:3">
      <c r="C7572"/>
    </row>
    <row r="7573" spans="3:3">
      <c r="C7573"/>
    </row>
    <row r="7574" spans="3:3">
      <c r="C7574"/>
    </row>
    <row r="7575" spans="3:3">
      <c r="C7575"/>
    </row>
    <row r="7576" spans="3:3">
      <c r="C7576"/>
    </row>
    <row r="7577" spans="3:3">
      <c r="C7577"/>
    </row>
    <row r="7578" spans="3:3">
      <c r="C7578"/>
    </row>
    <row r="7579" spans="3:3">
      <c r="C7579"/>
    </row>
    <row r="7580" spans="3:3">
      <c r="C7580"/>
    </row>
    <row r="7581" spans="3:3">
      <c r="C7581"/>
    </row>
    <row r="7582" spans="3:3">
      <c r="C7582"/>
    </row>
    <row r="7583" spans="3:3">
      <c r="C7583"/>
    </row>
    <row r="7584" spans="3:3">
      <c r="C7584"/>
    </row>
    <row r="7585" spans="3:3">
      <c r="C7585"/>
    </row>
    <row r="7586" spans="3:3">
      <c r="C7586"/>
    </row>
    <row r="7587" spans="3:3">
      <c r="C7587"/>
    </row>
    <row r="7588" spans="3:3">
      <c r="C7588"/>
    </row>
    <row r="7589" spans="3:3">
      <c r="C7589"/>
    </row>
    <row r="7590" spans="3:3">
      <c r="C7590"/>
    </row>
    <row r="7591" spans="3:3">
      <c r="C7591"/>
    </row>
    <row r="7592" spans="3:3">
      <c r="C7592"/>
    </row>
    <row r="7593" spans="3:3">
      <c r="C7593"/>
    </row>
    <row r="7594" spans="3:3">
      <c r="C7594"/>
    </row>
    <row r="7595" spans="3:3">
      <c r="C7595"/>
    </row>
    <row r="7596" spans="3:3">
      <c r="C7596"/>
    </row>
    <row r="7597" spans="3:3">
      <c r="C7597"/>
    </row>
    <row r="7598" spans="3:3">
      <c r="C7598"/>
    </row>
    <row r="7599" spans="3:3">
      <c r="C7599"/>
    </row>
    <row r="7600" spans="3:3">
      <c r="C7600"/>
    </row>
    <row r="7601" spans="3:3">
      <c r="C7601"/>
    </row>
    <row r="7602" spans="3:3">
      <c r="C7602"/>
    </row>
    <row r="7603" spans="3:3">
      <c r="C7603"/>
    </row>
    <row r="7604" spans="3:3">
      <c r="C7604"/>
    </row>
    <row r="7605" spans="3:3">
      <c r="C7605"/>
    </row>
    <row r="7606" spans="3:3">
      <c r="C7606"/>
    </row>
    <row r="7607" spans="3:3">
      <c r="C7607"/>
    </row>
    <row r="7608" spans="3:3">
      <c r="C7608"/>
    </row>
    <row r="7609" spans="3:3">
      <c r="C7609"/>
    </row>
    <row r="7610" spans="3:3">
      <c r="C7610"/>
    </row>
    <row r="7611" spans="3:3">
      <c r="C7611"/>
    </row>
    <row r="7612" spans="3:3">
      <c r="C7612"/>
    </row>
    <row r="7613" spans="3:3">
      <c r="C7613"/>
    </row>
    <row r="7614" spans="3:3">
      <c r="C7614"/>
    </row>
    <row r="7615" spans="3:3">
      <c r="C7615"/>
    </row>
    <row r="7616" spans="3:3">
      <c r="C7616"/>
    </row>
    <row r="7617" spans="3:3">
      <c r="C7617"/>
    </row>
    <row r="7618" spans="3:3">
      <c r="C7618"/>
    </row>
    <row r="7619" spans="3:3">
      <c r="C7619"/>
    </row>
    <row r="7620" spans="3:3">
      <c r="C7620"/>
    </row>
    <row r="7621" spans="3:3">
      <c r="C7621"/>
    </row>
    <row r="7622" spans="3:3">
      <c r="C7622"/>
    </row>
    <row r="7623" spans="3:3">
      <c r="C7623"/>
    </row>
    <row r="7624" spans="3:3">
      <c r="C7624"/>
    </row>
    <row r="7625" spans="3:3">
      <c r="C7625"/>
    </row>
    <row r="7626" spans="3:3">
      <c r="C7626"/>
    </row>
    <row r="7627" spans="3:3">
      <c r="C7627"/>
    </row>
    <row r="7628" spans="3:3">
      <c r="C7628"/>
    </row>
    <row r="7629" spans="3:3">
      <c r="C7629"/>
    </row>
    <row r="7630" spans="3:3">
      <c r="C7630"/>
    </row>
    <row r="7631" spans="3:3">
      <c r="C7631"/>
    </row>
    <row r="7632" spans="3:3">
      <c r="C7632"/>
    </row>
    <row r="7633" spans="3:3">
      <c r="C7633"/>
    </row>
    <row r="7634" spans="3:3">
      <c r="C7634"/>
    </row>
    <row r="7635" spans="3:3">
      <c r="C7635"/>
    </row>
    <row r="7636" spans="3:3">
      <c r="C7636"/>
    </row>
    <row r="7637" spans="3:3">
      <c r="C7637"/>
    </row>
    <row r="7638" spans="3:3">
      <c r="C7638"/>
    </row>
    <row r="7639" spans="3:3">
      <c r="C7639"/>
    </row>
    <row r="7640" spans="3:3">
      <c r="C7640"/>
    </row>
    <row r="7641" spans="3:3">
      <c r="C7641"/>
    </row>
    <row r="7642" spans="3:3">
      <c r="C7642"/>
    </row>
    <row r="7643" spans="3:3">
      <c r="C7643"/>
    </row>
    <row r="7644" spans="3:3">
      <c r="C7644"/>
    </row>
    <row r="7645" spans="3:3">
      <c r="C7645"/>
    </row>
    <row r="7646" spans="3:3">
      <c r="C7646"/>
    </row>
    <row r="7647" spans="3:3">
      <c r="C7647"/>
    </row>
    <row r="7648" spans="3:3">
      <c r="C7648"/>
    </row>
    <row r="7649" spans="3:3">
      <c r="C7649"/>
    </row>
    <row r="7650" spans="3:3">
      <c r="C7650"/>
    </row>
    <row r="7651" spans="3:3">
      <c r="C7651"/>
    </row>
    <row r="7652" spans="3:3">
      <c r="C7652"/>
    </row>
    <row r="7653" spans="3:3">
      <c r="C7653"/>
    </row>
    <row r="7654" spans="3:3">
      <c r="C7654"/>
    </row>
    <row r="7655" spans="3:3">
      <c r="C7655"/>
    </row>
    <row r="7656" spans="3:3">
      <c r="C7656"/>
    </row>
    <row r="7657" spans="3:3">
      <c r="C7657"/>
    </row>
    <row r="7658" spans="3:3">
      <c r="C7658"/>
    </row>
    <row r="7659" spans="3:3">
      <c r="C7659"/>
    </row>
    <row r="7660" spans="3:3">
      <c r="C7660"/>
    </row>
    <row r="7661" spans="3:3">
      <c r="C7661"/>
    </row>
    <row r="7662" spans="3:3">
      <c r="C7662"/>
    </row>
    <row r="7663" spans="3:3">
      <c r="C7663"/>
    </row>
    <row r="7664" spans="3:3">
      <c r="C7664"/>
    </row>
    <row r="7665" spans="3:3">
      <c r="C7665"/>
    </row>
    <row r="7666" spans="3:3">
      <c r="C7666"/>
    </row>
    <row r="7667" spans="3:3">
      <c r="C7667"/>
    </row>
    <row r="7668" spans="3:3">
      <c r="C7668"/>
    </row>
    <row r="7669" spans="3:3">
      <c r="C7669"/>
    </row>
    <row r="7670" spans="3:3">
      <c r="C7670"/>
    </row>
    <row r="7671" spans="3:3">
      <c r="C7671"/>
    </row>
    <row r="7672" spans="3:3">
      <c r="C7672"/>
    </row>
    <row r="7673" spans="3:3">
      <c r="C7673"/>
    </row>
    <row r="7674" spans="3:3">
      <c r="C7674"/>
    </row>
    <row r="7675" spans="3:3">
      <c r="C7675"/>
    </row>
    <row r="7676" spans="3:3">
      <c r="C7676"/>
    </row>
    <row r="7677" spans="3:3">
      <c r="C7677"/>
    </row>
    <row r="7678" spans="3:3">
      <c r="C7678"/>
    </row>
    <row r="7679" spans="3:3">
      <c r="C7679"/>
    </row>
    <row r="7680" spans="3:3">
      <c r="C7680"/>
    </row>
    <row r="7681" spans="3:3">
      <c r="C7681"/>
    </row>
    <row r="7682" spans="3:3">
      <c r="C7682"/>
    </row>
    <row r="7683" spans="3:3">
      <c r="C7683"/>
    </row>
    <row r="7684" spans="3:3">
      <c r="C7684"/>
    </row>
    <row r="7685" spans="3:3">
      <c r="C7685"/>
    </row>
    <row r="7686" spans="3:3">
      <c r="C7686"/>
    </row>
    <row r="7687" spans="3:3">
      <c r="C7687"/>
    </row>
    <row r="7688" spans="3:3">
      <c r="C7688"/>
    </row>
    <row r="7689" spans="3:3">
      <c r="C7689"/>
    </row>
    <row r="7690" spans="3:3">
      <c r="C7690"/>
    </row>
    <row r="7691" spans="3:3">
      <c r="C7691"/>
    </row>
    <row r="7692" spans="3:3">
      <c r="C7692"/>
    </row>
    <row r="7693" spans="3:3">
      <c r="C7693"/>
    </row>
    <row r="7694" spans="3:3">
      <c r="C7694"/>
    </row>
    <row r="7695" spans="3:3">
      <c r="C7695"/>
    </row>
    <row r="7696" spans="3:3">
      <c r="C7696"/>
    </row>
    <row r="7697" spans="3:3">
      <c r="C7697"/>
    </row>
    <row r="7698" spans="3:3">
      <c r="C7698"/>
    </row>
    <row r="7699" spans="3:3">
      <c r="C7699"/>
    </row>
    <row r="7700" spans="3:3">
      <c r="C7700"/>
    </row>
    <row r="7701" spans="3:3">
      <c r="C7701"/>
    </row>
    <row r="7702" spans="3:3">
      <c r="C7702"/>
    </row>
    <row r="7703" spans="3:3">
      <c r="C7703"/>
    </row>
    <row r="7704" spans="3:3">
      <c r="C7704"/>
    </row>
    <row r="7705" spans="3:3">
      <c r="C7705"/>
    </row>
    <row r="7706" spans="3:3">
      <c r="C7706"/>
    </row>
    <row r="7707" spans="3:3">
      <c r="C7707"/>
    </row>
    <row r="7708" spans="3:3">
      <c r="C7708"/>
    </row>
    <row r="7709" spans="3:3">
      <c r="C7709"/>
    </row>
    <row r="7710" spans="3:3">
      <c r="C7710"/>
    </row>
    <row r="7711" spans="3:3">
      <c r="C7711"/>
    </row>
    <row r="7712" spans="3:3">
      <c r="C7712"/>
    </row>
    <row r="7713" spans="3:3">
      <c r="C7713"/>
    </row>
    <row r="7714" spans="3:3">
      <c r="C7714"/>
    </row>
    <row r="7715" spans="3:3">
      <c r="C7715"/>
    </row>
    <row r="7716" spans="3:3">
      <c r="C7716"/>
    </row>
    <row r="7717" spans="3:3">
      <c r="C7717"/>
    </row>
    <row r="7718" spans="3:3">
      <c r="C7718"/>
    </row>
    <row r="7719" spans="3:3">
      <c r="C7719"/>
    </row>
    <row r="7720" spans="3:3">
      <c r="C7720"/>
    </row>
    <row r="7721" spans="3:3">
      <c r="C7721"/>
    </row>
    <row r="7722" spans="3:3">
      <c r="C7722"/>
    </row>
    <row r="7723" spans="3:3">
      <c r="C7723"/>
    </row>
    <row r="7724" spans="3:3">
      <c r="C7724"/>
    </row>
    <row r="7725" spans="3:3">
      <c r="C7725"/>
    </row>
    <row r="7726" spans="3:3">
      <c r="C7726"/>
    </row>
    <row r="7727" spans="3:3">
      <c r="C7727"/>
    </row>
    <row r="7728" spans="3:3">
      <c r="C7728"/>
    </row>
    <row r="7729" spans="3:3">
      <c r="C7729"/>
    </row>
    <row r="7730" spans="3:3">
      <c r="C7730"/>
    </row>
    <row r="7731" spans="3:3">
      <c r="C7731"/>
    </row>
    <row r="7732" spans="3:3">
      <c r="C7732"/>
    </row>
    <row r="7733" spans="3:3">
      <c r="C7733"/>
    </row>
    <row r="7734" spans="3:3">
      <c r="C7734"/>
    </row>
    <row r="7735" spans="3:3">
      <c r="C7735"/>
    </row>
    <row r="7736" spans="3:3">
      <c r="C7736"/>
    </row>
    <row r="7737" spans="3:3">
      <c r="C7737"/>
    </row>
    <row r="7738" spans="3:3">
      <c r="C7738"/>
    </row>
    <row r="7739" spans="3:3">
      <c r="C7739"/>
    </row>
    <row r="7740" spans="3:3">
      <c r="C7740"/>
    </row>
    <row r="7741" spans="3:3">
      <c r="C7741"/>
    </row>
    <row r="7742" spans="3:3">
      <c r="C7742"/>
    </row>
    <row r="7743" spans="3:3">
      <c r="C7743"/>
    </row>
    <row r="7744" spans="3:3">
      <c r="C7744"/>
    </row>
    <row r="7745" spans="3:3">
      <c r="C7745"/>
    </row>
    <row r="7746" spans="3:3">
      <c r="C7746"/>
    </row>
    <row r="7747" spans="3:3">
      <c r="C7747"/>
    </row>
    <row r="7748" spans="3:3">
      <c r="C7748"/>
    </row>
    <row r="7749" spans="3:3">
      <c r="C7749"/>
    </row>
    <row r="7750" spans="3:3">
      <c r="C7750"/>
    </row>
    <row r="7751" spans="3:3">
      <c r="C7751"/>
    </row>
    <row r="7752" spans="3:3">
      <c r="C7752"/>
    </row>
    <row r="7753" spans="3:3">
      <c r="C7753"/>
    </row>
    <row r="7754" spans="3:3">
      <c r="C7754"/>
    </row>
    <row r="7755" spans="3:3">
      <c r="C7755"/>
    </row>
    <row r="7756" spans="3:3">
      <c r="C7756"/>
    </row>
    <row r="7757" spans="3:3">
      <c r="C7757"/>
    </row>
    <row r="7758" spans="3:3">
      <c r="C7758"/>
    </row>
    <row r="7759" spans="3:3">
      <c r="C7759"/>
    </row>
    <row r="7760" spans="3:3">
      <c r="C7760"/>
    </row>
    <row r="7761" spans="3:3">
      <c r="C7761"/>
    </row>
    <row r="7762" spans="3:3">
      <c r="C7762"/>
    </row>
    <row r="7763" spans="3:3">
      <c r="C7763"/>
    </row>
    <row r="7764" spans="3:3">
      <c r="C7764"/>
    </row>
    <row r="7765" spans="3:3">
      <c r="C7765"/>
    </row>
    <row r="7766" spans="3:3">
      <c r="C7766"/>
    </row>
    <row r="7767" spans="3:3">
      <c r="C7767"/>
    </row>
    <row r="7768" spans="3:3">
      <c r="C7768"/>
    </row>
    <row r="7769" spans="3:3">
      <c r="C7769"/>
    </row>
    <row r="7770" spans="3:3">
      <c r="C7770"/>
    </row>
    <row r="7771" spans="3:3">
      <c r="C7771"/>
    </row>
    <row r="7772" spans="3:3">
      <c r="C7772"/>
    </row>
    <row r="7773" spans="3:3">
      <c r="C7773"/>
    </row>
    <row r="7774" spans="3:3">
      <c r="C7774"/>
    </row>
    <row r="7775" spans="3:3">
      <c r="C7775"/>
    </row>
    <row r="7776" spans="3:3">
      <c r="C7776"/>
    </row>
    <row r="7777" spans="3:3">
      <c r="C7777"/>
    </row>
    <row r="7778" spans="3:3">
      <c r="C7778"/>
    </row>
    <row r="7779" spans="3:3">
      <c r="C7779"/>
    </row>
    <row r="7780" spans="3:3">
      <c r="C7780"/>
    </row>
    <row r="7781" spans="3:3">
      <c r="C7781"/>
    </row>
    <row r="7782" spans="3:3">
      <c r="C7782"/>
    </row>
    <row r="7783" spans="3:3">
      <c r="C7783"/>
    </row>
    <row r="7784" spans="3:3">
      <c r="C7784"/>
    </row>
    <row r="7785" spans="3:3">
      <c r="C7785"/>
    </row>
    <row r="7786" spans="3:3">
      <c r="C7786"/>
    </row>
    <row r="7787" spans="3:3">
      <c r="C7787"/>
    </row>
    <row r="7788" spans="3:3">
      <c r="C7788"/>
    </row>
    <row r="7789" spans="3:3">
      <c r="C7789"/>
    </row>
    <row r="7790" spans="3:3">
      <c r="C7790"/>
    </row>
    <row r="7791" spans="3:3">
      <c r="C7791"/>
    </row>
    <row r="7792" spans="3:3">
      <c r="C7792"/>
    </row>
    <row r="7793" spans="3:3">
      <c r="C7793"/>
    </row>
    <row r="7794" spans="3:3">
      <c r="C7794"/>
    </row>
    <row r="7795" spans="3:3">
      <c r="C7795"/>
    </row>
    <row r="7796" spans="3:3">
      <c r="C7796"/>
    </row>
    <row r="7797" spans="3:3">
      <c r="C7797"/>
    </row>
    <row r="7798" spans="3:3">
      <c r="C7798"/>
    </row>
    <row r="7799" spans="3:3">
      <c r="C7799"/>
    </row>
    <row r="7800" spans="3:3">
      <c r="C7800"/>
    </row>
    <row r="7801" spans="3:3">
      <c r="C7801"/>
    </row>
    <row r="7802" spans="3:3">
      <c r="C7802"/>
    </row>
    <row r="7803" spans="3:3">
      <c r="C7803"/>
    </row>
    <row r="7804" spans="3:3">
      <c r="C7804"/>
    </row>
    <row r="7805" spans="3:3">
      <c r="C7805"/>
    </row>
    <row r="7806" spans="3:3">
      <c r="C7806"/>
    </row>
    <row r="7807" spans="3:3">
      <c r="C7807"/>
    </row>
    <row r="7808" spans="3:3">
      <c r="C7808"/>
    </row>
    <row r="7809" spans="3:3">
      <c r="C7809"/>
    </row>
    <row r="7810" spans="3:3">
      <c r="C7810"/>
    </row>
    <row r="7811" spans="3:3">
      <c r="C7811"/>
    </row>
    <row r="7812" spans="3:3">
      <c r="C7812"/>
    </row>
    <row r="7813" spans="3:3">
      <c r="C7813"/>
    </row>
    <row r="7814" spans="3:3">
      <c r="C7814"/>
    </row>
    <row r="7815" spans="3:3">
      <c r="C7815"/>
    </row>
    <row r="7816" spans="3:3">
      <c r="C7816"/>
    </row>
    <row r="7817" spans="3:3">
      <c r="C7817"/>
    </row>
    <row r="7818" spans="3:3">
      <c r="C7818"/>
    </row>
    <row r="7819" spans="3:3">
      <c r="C7819"/>
    </row>
    <row r="7820" spans="3:3">
      <c r="C7820"/>
    </row>
    <row r="7821" spans="3:3">
      <c r="C7821"/>
    </row>
    <row r="7822" spans="3:3">
      <c r="C7822"/>
    </row>
    <row r="7823" spans="3:3">
      <c r="C7823"/>
    </row>
    <row r="7824" spans="3:3">
      <c r="C7824"/>
    </row>
    <row r="7825" spans="3:3">
      <c r="C7825"/>
    </row>
    <row r="7826" spans="3:3">
      <c r="C7826"/>
    </row>
    <row r="7827" spans="3:3">
      <c r="C7827"/>
    </row>
    <row r="7828" spans="3:3">
      <c r="C7828"/>
    </row>
    <row r="7829" spans="3:3">
      <c r="C7829"/>
    </row>
    <row r="7830" spans="3:3">
      <c r="C7830"/>
    </row>
    <row r="7831" spans="3:3">
      <c r="C7831"/>
    </row>
    <row r="7832" spans="3:3">
      <c r="C7832"/>
    </row>
    <row r="7833" spans="3:3">
      <c r="C7833"/>
    </row>
    <row r="7834" spans="3:3">
      <c r="C7834"/>
    </row>
    <row r="7835" spans="3:3">
      <c r="C7835"/>
    </row>
    <row r="7836" spans="3:3">
      <c r="C7836"/>
    </row>
    <row r="7837" spans="3:3">
      <c r="C7837"/>
    </row>
    <row r="7838" spans="3:3">
      <c r="C7838"/>
    </row>
    <row r="7839" spans="3:3">
      <c r="C7839"/>
    </row>
    <row r="7840" spans="3:3">
      <c r="C7840"/>
    </row>
    <row r="7841" spans="3:3">
      <c r="C7841"/>
    </row>
    <row r="7842" spans="3:3">
      <c r="C7842"/>
    </row>
    <row r="7843" spans="3:3">
      <c r="C7843"/>
    </row>
    <row r="7844" spans="3:3">
      <c r="C7844"/>
    </row>
    <row r="7845" spans="3:3">
      <c r="C7845"/>
    </row>
    <row r="7846" spans="3:3">
      <c r="C7846"/>
    </row>
    <row r="7847" spans="3:3">
      <c r="C7847"/>
    </row>
    <row r="7848" spans="3:3">
      <c r="C7848"/>
    </row>
    <row r="7849" spans="3:3">
      <c r="C7849"/>
    </row>
    <row r="7850" spans="3:3">
      <c r="C7850"/>
    </row>
    <row r="7851" spans="3:3">
      <c r="C7851"/>
    </row>
    <row r="7852" spans="3:3">
      <c r="C7852"/>
    </row>
    <row r="7853" spans="3:3">
      <c r="C7853"/>
    </row>
    <row r="7854" spans="3:3">
      <c r="C7854"/>
    </row>
    <row r="7855" spans="3:3">
      <c r="C7855"/>
    </row>
    <row r="7856" spans="3:3">
      <c r="C7856"/>
    </row>
    <row r="7857" spans="3:3">
      <c r="C7857"/>
    </row>
    <row r="7858" spans="3:3">
      <c r="C7858"/>
    </row>
    <row r="7859" spans="3:3">
      <c r="C7859"/>
    </row>
    <row r="7860" spans="3:3">
      <c r="C7860"/>
    </row>
    <row r="7861" spans="3:3">
      <c r="C7861"/>
    </row>
    <row r="7862" spans="3:3">
      <c r="C7862"/>
    </row>
    <row r="7863" spans="3:3">
      <c r="C7863"/>
    </row>
    <row r="7864" spans="3:3">
      <c r="C7864"/>
    </row>
    <row r="7865" spans="3:3">
      <c r="C7865"/>
    </row>
    <row r="7866" spans="3:3">
      <c r="C7866"/>
    </row>
    <row r="7867" spans="3:3">
      <c r="C7867"/>
    </row>
    <row r="7868" spans="3:3">
      <c r="C7868"/>
    </row>
    <row r="7869" spans="3:3">
      <c r="C7869"/>
    </row>
    <row r="7870" spans="3:3">
      <c r="C7870"/>
    </row>
    <row r="7871" spans="3:3">
      <c r="C7871"/>
    </row>
    <row r="7872" spans="3:3">
      <c r="C7872"/>
    </row>
    <row r="7873" spans="3:3">
      <c r="C7873"/>
    </row>
    <row r="7874" spans="3:3">
      <c r="C7874"/>
    </row>
    <row r="7875" spans="3:3">
      <c r="C7875"/>
    </row>
    <row r="7876" spans="3:3">
      <c r="C7876"/>
    </row>
    <row r="7877" spans="3:3">
      <c r="C7877"/>
    </row>
    <row r="7878" spans="3:3">
      <c r="C7878"/>
    </row>
    <row r="7879" spans="3:3">
      <c r="C7879"/>
    </row>
    <row r="7880" spans="3:3">
      <c r="C7880"/>
    </row>
    <row r="7881" spans="3:3">
      <c r="C7881"/>
    </row>
    <row r="7882" spans="3:3">
      <c r="C7882"/>
    </row>
    <row r="7883" spans="3:3">
      <c r="C7883"/>
    </row>
    <row r="7884" spans="3:3">
      <c r="C7884"/>
    </row>
    <row r="7885" spans="3:3">
      <c r="C7885"/>
    </row>
    <row r="7886" spans="3:3">
      <c r="C7886"/>
    </row>
    <row r="7887" spans="3:3">
      <c r="C7887"/>
    </row>
    <row r="7888" spans="3:3">
      <c r="C7888"/>
    </row>
    <row r="7889" spans="3:3">
      <c r="C7889"/>
    </row>
    <row r="7890" spans="3:3">
      <c r="C7890"/>
    </row>
    <row r="7891" spans="3:3">
      <c r="C7891"/>
    </row>
    <row r="7892" spans="3:3">
      <c r="C7892"/>
    </row>
    <row r="7893" spans="3:3">
      <c r="C7893"/>
    </row>
    <row r="7894" spans="3:3">
      <c r="C7894"/>
    </row>
    <row r="7895" spans="3:3">
      <c r="C7895"/>
    </row>
    <row r="7896" spans="3:3">
      <c r="C7896"/>
    </row>
    <row r="7897" spans="3:3">
      <c r="C7897"/>
    </row>
    <row r="7898" spans="3:3">
      <c r="C7898"/>
    </row>
    <row r="7899" spans="3:3">
      <c r="C7899"/>
    </row>
    <row r="7900" spans="3:3">
      <c r="C7900"/>
    </row>
    <row r="7901" spans="3:3">
      <c r="C7901"/>
    </row>
    <row r="7902" spans="3:3">
      <c r="C7902"/>
    </row>
    <row r="7903" spans="3:3">
      <c r="C7903"/>
    </row>
    <row r="7904" spans="3:3">
      <c r="C7904"/>
    </row>
    <row r="7905" spans="3:3">
      <c r="C7905"/>
    </row>
    <row r="7906" spans="3:3">
      <c r="C7906"/>
    </row>
    <row r="7907" spans="3:3">
      <c r="C7907"/>
    </row>
    <row r="7908" spans="3:3">
      <c r="C7908"/>
    </row>
    <row r="7909" spans="3:3">
      <c r="C7909"/>
    </row>
    <row r="7910" spans="3:3">
      <c r="C7910"/>
    </row>
    <row r="7911" spans="3:3">
      <c r="C7911"/>
    </row>
    <row r="7912" spans="3:3">
      <c r="C7912"/>
    </row>
    <row r="7913" spans="3:3">
      <c r="C7913"/>
    </row>
    <row r="7914" spans="3:3">
      <c r="C7914"/>
    </row>
    <row r="7915" spans="3:3">
      <c r="C7915"/>
    </row>
    <row r="7916" spans="3:3">
      <c r="C7916"/>
    </row>
    <row r="7917" spans="3:3">
      <c r="C7917"/>
    </row>
    <row r="7918" spans="3:3">
      <c r="C7918"/>
    </row>
    <row r="7919" spans="3:3">
      <c r="C7919"/>
    </row>
    <row r="7920" spans="3:3">
      <c r="C7920"/>
    </row>
    <row r="7921" spans="3:3">
      <c r="C7921"/>
    </row>
    <row r="7922" spans="3:3">
      <c r="C7922"/>
    </row>
    <row r="7923" spans="3:3">
      <c r="C7923"/>
    </row>
    <row r="7924" spans="3:3">
      <c r="C7924"/>
    </row>
    <row r="7925" spans="3:3">
      <c r="C7925"/>
    </row>
    <row r="7926" spans="3:3">
      <c r="C7926"/>
    </row>
    <row r="7927" spans="3:3">
      <c r="C7927"/>
    </row>
    <row r="7928" spans="3:3">
      <c r="C7928"/>
    </row>
    <row r="7929" spans="3:3">
      <c r="C7929"/>
    </row>
    <row r="7930" spans="3:3">
      <c r="C7930"/>
    </row>
    <row r="7931" spans="3:3">
      <c r="C7931"/>
    </row>
    <row r="7932" spans="3:3">
      <c r="C7932"/>
    </row>
    <row r="7933" spans="3:3">
      <c r="C7933"/>
    </row>
    <row r="7934" spans="3:3">
      <c r="C7934"/>
    </row>
    <row r="7935" spans="3:3">
      <c r="C7935"/>
    </row>
    <row r="7936" spans="3:3">
      <c r="C7936"/>
    </row>
    <row r="7937" spans="3:3">
      <c r="C7937"/>
    </row>
    <row r="7938" spans="3:3">
      <c r="C7938"/>
    </row>
    <row r="7939" spans="3:3">
      <c r="C7939"/>
    </row>
    <row r="7940" spans="3:3">
      <c r="C7940"/>
    </row>
    <row r="7941" spans="3:3">
      <c r="C7941"/>
    </row>
    <row r="7942" spans="3:3">
      <c r="C7942"/>
    </row>
    <row r="7943" spans="3:3">
      <c r="C7943"/>
    </row>
    <row r="7944" spans="3:3">
      <c r="C7944"/>
    </row>
    <row r="7945" spans="3:3">
      <c r="C7945"/>
    </row>
    <row r="7946" spans="3:3">
      <c r="C7946"/>
    </row>
    <row r="7947" spans="3:3">
      <c r="C7947"/>
    </row>
    <row r="7948" spans="3:3">
      <c r="C7948"/>
    </row>
    <row r="7949" spans="3:3">
      <c r="C7949"/>
    </row>
    <row r="7950" spans="3:3">
      <c r="C7950"/>
    </row>
    <row r="7951" spans="3:3">
      <c r="C7951"/>
    </row>
    <row r="7952" spans="3:3">
      <c r="C7952"/>
    </row>
    <row r="7953" spans="3:3">
      <c r="C7953"/>
    </row>
    <row r="7954" spans="3:3">
      <c r="C7954"/>
    </row>
    <row r="7955" spans="3:3">
      <c r="C7955"/>
    </row>
    <row r="7956" spans="3:3">
      <c r="C7956"/>
    </row>
    <row r="7957" spans="3:3">
      <c r="C7957"/>
    </row>
    <row r="7958" spans="3:3">
      <c r="C7958"/>
    </row>
    <row r="7959" spans="3:3">
      <c r="C7959"/>
    </row>
    <row r="7960" spans="3:3">
      <c r="C7960"/>
    </row>
    <row r="7961" spans="3:3">
      <c r="C7961"/>
    </row>
    <row r="7962" spans="3:3">
      <c r="C7962"/>
    </row>
    <row r="7963" spans="3:3">
      <c r="C7963"/>
    </row>
    <row r="7964" spans="3:3">
      <c r="C7964"/>
    </row>
    <row r="7965" spans="3:3">
      <c r="C7965"/>
    </row>
    <row r="7966" spans="3:3">
      <c r="C7966"/>
    </row>
    <row r="7967" spans="3:3">
      <c r="C7967"/>
    </row>
    <row r="7968" spans="3:3">
      <c r="C7968"/>
    </row>
    <row r="7969" spans="3:3">
      <c r="C7969"/>
    </row>
    <row r="7970" spans="3:3">
      <c r="C7970"/>
    </row>
    <row r="7971" spans="3:3">
      <c r="C7971"/>
    </row>
    <row r="7972" spans="3:3">
      <c r="C7972"/>
    </row>
    <row r="7973" spans="3:3">
      <c r="C7973"/>
    </row>
    <row r="7974" spans="3:3">
      <c r="C7974"/>
    </row>
    <row r="7975" spans="3:3">
      <c r="C7975"/>
    </row>
    <row r="7976" spans="3:3">
      <c r="C7976"/>
    </row>
    <row r="7977" spans="3:3">
      <c r="C7977"/>
    </row>
    <row r="7978" spans="3:3">
      <c r="C7978"/>
    </row>
    <row r="7979" spans="3:3">
      <c r="C7979"/>
    </row>
    <row r="7980" spans="3:3">
      <c r="C7980"/>
    </row>
    <row r="7981" spans="3:3">
      <c r="C7981"/>
    </row>
    <row r="7982" spans="3:3">
      <c r="C7982"/>
    </row>
    <row r="7983" spans="3:3">
      <c r="C7983"/>
    </row>
    <row r="7984" spans="3:3">
      <c r="C7984"/>
    </row>
    <row r="7985" spans="3:3">
      <c r="C7985"/>
    </row>
    <row r="7986" spans="3:3">
      <c r="C7986"/>
    </row>
    <row r="7987" spans="3:3">
      <c r="C7987"/>
    </row>
    <row r="7988" spans="3:3">
      <c r="C7988"/>
    </row>
    <row r="7989" spans="3:3">
      <c r="C7989"/>
    </row>
    <row r="7990" spans="3:3">
      <c r="C7990"/>
    </row>
    <row r="7991" spans="3:3">
      <c r="C7991"/>
    </row>
    <row r="7992" spans="3:3">
      <c r="C7992"/>
    </row>
    <row r="7993" spans="3:3">
      <c r="C7993"/>
    </row>
    <row r="7994" spans="3:3">
      <c r="C7994"/>
    </row>
    <row r="7995" spans="3:3">
      <c r="C7995"/>
    </row>
    <row r="7996" spans="3:3">
      <c r="C7996"/>
    </row>
    <row r="7997" spans="3:3">
      <c r="C7997"/>
    </row>
    <row r="7998" spans="3:3">
      <c r="C7998"/>
    </row>
    <row r="7999" spans="3:3">
      <c r="C7999"/>
    </row>
    <row r="8000" spans="3:3">
      <c r="C8000"/>
    </row>
    <row r="8001" spans="3:3">
      <c r="C8001"/>
    </row>
    <row r="8002" spans="3:3">
      <c r="C8002"/>
    </row>
    <row r="8003" spans="3:3">
      <c r="C8003"/>
    </row>
    <row r="8004" spans="3:3">
      <c r="C8004"/>
    </row>
    <row r="8005" spans="3:3">
      <c r="C8005"/>
    </row>
    <row r="8006" spans="3:3">
      <c r="C8006"/>
    </row>
    <row r="8007" spans="3:3">
      <c r="C8007"/>
    </row>
    <row r="8008" spans="3:3">
      <c r="C8008"/>
    </row>
    <row r="8009" spans="3:3">
      <c r="C8009"/>
    </row>
    <row r="8010" spans="3:3">
      <c r="C8010"/>
    </row>
    <row r="8011" spans="3:3">
      <c r="C8011"/>
    </row>
    <row r="8012" spans="3:3">
      <c r="C8012"/>
    </row>
    <row r="8013" spans="3:3">
      <c r="C8013"/>
    </row>
    <row r="8014" spans="3:3">
      <c r="C8014"/>
    </row>
    <row r="8015" spans="3:3">
      <c r="C8015"/>
    </row>
    <row r="8016" spans="3:3">
      <c r="C8016"/>
    </row>
    <row r="8017" spans="3:3">
      <c r="C8017"/>
    </row>
    <row r="8018" spans="3:3">
      <c r="C8018"/>
    </row>
    <row r="8019" spans="3:3">
      <c r="C8019"/>
    </row>
    <row r="8020" spans="3:3">
      <c r="C8020"/>
    </row>
    <row r="8021" spans="3:3">
      <c r="C8021"/>
    </row>
    <row r="8022" spans="3:3">
      <c r="C8022"/>
    </row>
    <row r="8023" spans="3:3">
      <c r="C8023"/>
    </row>
    <row r="8024" spans="3:3">
      <c r="C8024"/>
    </row>
    <row r="8025" spans="3:3">
      <c r="C8025"/>
    </row>
    <row r="8026" spans="3:3">
      <c r="C8026"/>
    </row>
    <row r="8027" spans="3:3">
      <c r="C8027"/>
    </row>
    <row r="8028" spans="3:3">
      <c r="C8028"/>
    </row>
    <row r="8029" spans="3:3">
      <c r="C8029"/>
    </row>
    <row r="8030" spans="3:3">
      <c r="C8030"/>
    </row>
    <row r="8031" spans="3:3">
      <c r="C8031"/>
    </row>
    <row r="8032" spans="3:3">
      <c r="C8032"/>
    </row>
    <row r="8033" spans="3:3">
      <c r="C8033"/>
    </row>
    <row r="8034" spans="3:3">
      <c r="C8034"/>
    </row>
    <row r="8035" spans="3:3">
      <c r="C8035"/>
    </row>
    <row r="8036" spans="3:3">
      <c r="C8036"/>
    </row>
    <row r="8037" spans="3:3">
      <c r="C8037"/>
    </row>
    <row r="8038" spans="3:3">
      <c r="C8038"/>
    </row>
    <row r="8039" spans="3:3">
      <c r="C8039"/>
    </row>
    <row r="8040" spans="3:3">
      <c r="C8040"/>
    </row>
    <row r="8041" spans="3:3">
      <c r="C8041"/>
    </row>
    <row r="8042" spans="3:3">
      <c r="C8042"/>
    </row>
    <row r="8043" spans="3:3">
      <c r="C8043"/>
    </row>
    <row r="8044" spans="3:3">
      <c r="C8044"/>
    </row>
    <row r="8045" spans="3:3">
      <c r="C8045"/>
    </row>
    <row r="8046" spans="3:3">
      <c r="C8046"/>
    </row>
    <row r="8047" spans="3:3">
      <c r="C8047"/>
    </row>
    <row r="8048" spans="3:3">
      <c r="C8048"/>
    </row>
    <row r="8049" spans="3:3">
      <c r="C8049"/>
    </row>
    <row r="8050" spans="3:3">
      <c r="C8050"/>
    </row>
    <row r="8051" spans="3:3">
      <c r="C8051"/>
    </row>
    <row r="8052" spans="3:3">
      <c r="C8052"/>
    </row>
    <row r="8053" spans="3:3">
      <c r="C8053"/>
    </row>
    <row r="8054" spans="3:3">
      <c r="C8054"/>
    </row>
    <row r="8055" spans="3:3">
      <c r="C8055"/>
    </row>
    <row r="8056" spans="3:3">
      <c r="C8056"/>
    </row>
    <row r="8057" spans="3:3">
      <c r="C8057"/>
    </row>
    <row r="8058" spans="3:3">
      <c r="C8058"/>
    </row>
    <row r="8059" spans="3:3">
      <c r="C8059"/>
    </row>
    <row r="8060" spans="3:3">
      <c r="C8060"/>
    </row>
    <row r="8061" spans="3:3">
      <c r="C8061"/>
    </row>
    <row r="8062" spans="3:3">
      <c r="C8062"/>
    </row>
    <row r="8063" spans="3:3">
      <c r="C8063"/>
    </row>
    <row r="8064" spans="3:3">
      <c r="C8064"/>
    </row>
    <row r="8065" spans="3:3">
      <c r="C8065"/>
    </row>
    <row r="8066" spans="3:3">
      <c r="C8066"/>
    </row>
    <row r="8067" spans="3:3">
      <c r="C8067"/>
    </row>
    <row r="8068" spans="3:3">
      <c r="C8068"/>
    </row>
    <row r="8069" spans="3:3">
      <c r="C8069"/>
    </row>
    <row r="8070" spans="3:3">
      <c r="C8070"/>
    </row>
    <row r="8071" spans="3:3">
      <c r="C8071"/>
    </row>
    <row r="8072" spans="3:3">
      <c r="C8072"/>
    </row>
    <row r="8073" spans="3:3">
      <c r="C8073"/>
    </row>
    <row r="8074" spans="3:3">
      <c r="C8074"/>
    </row>
    <row r="8075" spans="3:3">
      <c r="C8075"/>
    </row>
    <row r="8076" spans="3:3">
      <c r="C8076"/>
    </row>
    <row r="8077" spans="3:3">
      <c r="C8077"/>
    </row>
    <row r="8078" spans="3:3">
      <c r="C8078"/>
    </row>
    <row r="8079" spans="3:3">
      <c r="C8079"/>
    </row>
    <row r="8080" spans="3:3">
      <c r="C8080"/>
    </row>
    <row r="8081" spans="3:3">
      <c r="C8081"/>
    </row>
    <row r="8082" spans="3:3">
      <c r="C8082"/>
    </row>
    <row r="8083" spans="3:3">
      <c r="C8083"/>
    </row>
    <row r="8084" spans="3:3">
      <c r="C8084"/>
    </row>
    <row r="8085" spans="3:3">
      <c r="C8085"/>
    </row>
    <row r="8086" spans="3:3">
      <c r="C8086"/>
    </row>
    <row r="8087" spans="3:3">
      <c r="C8087"/>
    </row>
    <row r="8088" spans="3:3">
      <c r="C8088"/>
    </row>
    <row r="8089" spans="3:3">
      <c r="C8089"/>
    </row>
    <row r="8090" spans="3:3">
      <c r="C8090"/>
    </row>
    <row r="8091" spans="3:3">
      <c r="C8091"/>
    </row>
    <row r="8092" spans="3:3">
      <c r="C8092"/>
    </row>
    <row r="8093" spans="3:3">
      <c r="C8093"/>
    </row>
    <row r="8094" spans="3:3">
      <c r="C8094"/>
    </row>
    <row r="8095" spans="3:3">
      <c r="C8095"/>
    </row>
    <row r="8096" spans="3:3">
      <c r="C8096"/>
    </row>
    <row r="8097" spans="3:3">
      <c r="C8097"/>
    </row>
    <row r="8098" spans="3:3">
      <c r="C8098"/>
    </row>
    <row r="8099" spans="3:3">
      <c r="C8099"/>
    </row>
    <row r="8100" spans="3:3">
      <c r="C8100"/>
    </row>
    <row r="8101" spans="3:3">
      <c r="C8101"/>
    </row>
    <row r="8102" spans="3:3">
      <c r="C8102"/>
    </row>
    <row r="8103" spans="3:3">
      <c r="C8103"/>
    </row>
    <row r="8104" spans="3:3">
      <c r="C8104"/>
    </row>
    <row r="8105" spans="3:3">
      <c r="C8105"/>
    </row>
    <row r="8106" spans="3:3">
      <c r="C8106"/>
    </row>
    <row r="8107" spans="3:3">
      <c r="C8107"/>
    </row>
    <row r="8108" spans="3:3">
      <c r="C8108"/>
    </row>
    <row r="8109" spans="3:3">
      <c r="C8109"/>
    </row>
    <row r="8110" spans="3:3">
      <c r="C8110"/>
    </row>
    <row r="8111" spans="3:3">
      <c r="C8111"/>
    </row>
    <row r="8112" spans="3:3">
      <c r="C8112"/>
    </row>
    <row r="8113" spans="3:3">
      <c r="C8113"/>
    </row>
    <row r="8114" spans="3:3">
      <c r="C8114"/>
    </row>
    <row r="8115" spans="3:3">
      <c r="C8115"/>
    </row>
    <row r="8116" spans="3:3">
      <c r="C8116"/>
    </row>
    <row r="8117" spans="3:3">
      <c r="C8117"/>
    </row>
    <row r="8118" spans="3:3">
      <c r="C8118"/>
    </row>
    <row r="8119" spans="3:3">
      <c r="C8119"/>
    </row>
    <row r="8120" spans="3:3">
      <c r="C8120"/>
    </row>
    <row r="8121" spans="3:3">
      <c r="C8121"/>
    </row>
    <row r="8122" spans="3:3">
      <c r="C8122"/>
    </row>
    <row r="8123" spans="3:3">
      <c r="C8123"/>
    </row>
    <row r="8124" spans="3:3">
      <c r="C8124"/>
    </row>
    <row r="8125" spans="3:3">
      <c r="C8125"/>
    </row>
    <row r="8126" spans="3:3">
      <c r="C8126"/>
    </row>
    <row r="8127" spans="3:3">
      <c r="C8127"/>
    </row>
    <row r="8128" spans="3:3">
      <c r="C8128"/>
    </row>
    <row r="8129" spans="3:3">
      <c r="C8129"/>
    </row>
    <row r="8130" spans="3:3">
      <c r="C8130"/>
    </row>
    <row r="8131" spans="3:3">
      <c r="C8131"/>
    </row>
    <row r="8132" spans="3:3">
      <c r="C8132"/>
    </row>
    <row r="8133" spans="3:3">
      <c r="C8133"/>
    </row>
    <row r="8134" spans="3:3">
      <c r="C8134"/>
    </row>
    <row r="8135" spans="3:3">
      <c r="C8135"/>
    </row>
    <row r="8136" spans="3:3">
      <c r="C8136"/>
    </row>
    <row r="8137" spans="3:3">
      <c r="C8137"/>
    </row>
    <row r="8138" spans="3:3">
      <c r="C8138"/>
    </row>
    <row r="8139" spans="3:3">
      <c r="C8139"/>
    </row>
    <row r="8140" spans="3:3">
      <c r="C8140"/>
    </row>
    <row r="8141" spans="3:3">
      <c r="C8141"/>
    </row>
    <row r="8142" spans="3:3">
      <c r="C8142"/>
    </row>
    <row r="8143" spans="3:3">
      <c r="C8143"/>
    </row>
    <row r="8144" spans="3:3">
      <c r="C8144"/>
    </row>
    <row r="8145" spans="3:3">
      <c r="C8145"/>
    </row>
    <row r="8146" spans="3:3">
      <c r="C8146"/>
    </row>
    <row r="8147" spans="3:3">
      <c r="C8147"/>
    </row>
    <row r="8148" spans="3:3">
      <c r="C8148"/>
    </row>
    <row r="8149" spans="3:3">
      <c r="C8149"/>
    </row>
    <row r="8150" spans="3:3">
      <c r="C8150"/>
    </row>
    <row r="8151" spans="3:3">
      <c r="C8151"/>
    </row>
    <row r="8152" spans="3:3">
      <c r="C8152"/>
    </row>
    <row r="8153" spans="3:3">
      <c r="C8153"/>
    </row>
    <row r="8154" spans="3:3">
      <c r="C8154"/>
    </row>
    <row r="8155" spans="3:3">
      <c r="C8155"/>
    </row>
    <row r="8156" spans="3:3">
      <c r="C8156"/>
    </row>
    <row r="8157" spans="3:3">
      <c r="C8157"/>
    </row>
    <row r="8158" spans="3:3">
      <c r="C8158"/>
    </row>
    <row r="8159" spans="3:3">
      <c r="C8159"/>
    </row>
    <row r="8160" spans="3:3">
      <c r="C8160"/>
    </row>
    <row r="8161" spans="3:3">
      <c r="C8161"/>
    </row>
    <row r="8162" spans="3:3">
      <c r="C8162"/>
    </row>
    <row r="8163" spans="3:3">
      <c r="C8163"/>
    </row>
    <row r="8164" spans="3:3">
      <c r="C8164"/>
    </row>
    <row r="8165" spans="3:3">
      <c r="C8165"/>
    </row>
    <row r="8166" spans="3:3">
      <c r="C8166"/>
    </row>
    <row r="8167" spans="3:3">
      <c r="C8167"/>
    </row>
    <row r="8168" spans="3:3">
      <c r="C8168"/>
    </row>
    <row r="8169" spans="3:3">
      <c r="C8169"/>
    </row>
    <row r="8170" spans="3:3">
      <c r="C8170"/>
    </row>
    <row r="8171" spans="3:3">
      <c r="C8171"/>
    </row>
    <row r="8172" spans="3:3">
      <c r="C8172"/>
    </row>
    <row r="8173" spans="3:3">
      <c r="C8173"/>
    </row>
    <row r="8174" spans="3:3">
      <c r="C8174"/>
    </row>
    <row r="8175" spans="3:3">
      <c r="C8175"/>
    </row>
    <row r="8176" spans="3:3">
      <c r="C8176"/>
    </row>
    <row r="8177" spans="3:3">
      <c r="C8177"/>
    </row>
    <row r="8178" spans="3:3">
      <c r="C8178"/>
    </row>
    <row r="8179" spans="3:3">
      <c r="C8179"/>
    </row>
    <row r="8180" spans="3:3">
      <c r="C8180"/>
    </row>
    <row r="8181" spans="3:3">
      <c r="C8181"/>
    </row>
    <row r="8182" spans="3:3">
      <c r="C8182"/>
    </row>
    <row r="8183" spans="3:3">
      <c r="C8183"/>
    </row>
    <row r="8184" spans="3:3">
      <c r="C8184"/>
    </row>
    <row r="8185" spans="3:3">
      <c r="C8185"/>
    </row>
    <row r="8186" spans="3:3">
      <c r="C8186"/>
    </row>
    <row r="8187" spans="3:3">
      <c r="C8187"/>
    </row>
    <row r="8188" spans="3:3">
      <c r="C8188"/>
    </row>
    <row r="8189" spans="3:3">
      <c r="C8189"/>
    </row>
    <row r="8190" spans="3:3">
      <c r="C8190"/>
    </row>
    <row r="8191" spans="3:3">
      <c r="C8191"/>
    </row>
    <row r="8192" spans="3:3">
      <c r="C8192"/>
    </row>
    <row r="8193" spans="3:3">
      <c r="C8193"/>
    </row>
    <row r="8194" spans="3:3">
      <c r="C8194"/>
    </row>
    <row r="8195" spans="3:3">
      <c r="C8195"/>
    </row>
    <row r="8196" spans="3:3">
      <c r="C8196"/>
    </row>
    <row r="8197" spans="3:3">
      <c r="C8197"/>
    </row>
    <row r="8198" spans="3:3">
      <c r="C8198"/>
    </row>
    <row r="8199" spans="3:3">
      <c r="C8199"/>
    </row>
    <row r="8200" spans="3:3">
      <c r="C8200"/>
    </row>
    <row r="8201" spans="3:3">
      <c r="C8201"/>
    </row>
    <row r="8202" spans="3:3">
      <c r="C8202"/>
    </row>
    <row r="8203" spans="3:3">
      <c r="C8203"/>
    </row>
    <row r="8204" spans="3:3">
      <c r="C8204"/>
    </row>
    <row r="8205" spans="3:3">
      <c r="C8205"/>
    </row>
    <row r="8206" spans="3:3">
      <c r="C8206"/>
    </row>
    <row r="8207" spans="3:3">
      <c r="C8207"/>
    </row>
    <row r="8208" spans="3:3">
      <c r="C8208"/>
    </row>
    <row r="8209" spans="3:3">
      <c r="C8209"/>
    </row>
    <row r="8210" spans="3:3">
      <c r="C8210"/>
    </row>
    <row r="8211" spans="3:3">
      <c r="C8211"/>
    </row>
    <row r="8212" spans="3:3">
      <c r="C8212"/>
    </row>
    <row r="8213" spans="3:3">
      <c r="C8213"/>
    </row>
    <row r="8214" spans="3:3">
      <c r="C8214"/>
    </row>
    <row r="8215" spans="3:3">
      <c r="C8215"/>
    </row>
    <row r="8216" spans="3:3">
      <c r="C8216"/>
    </row>
    <row r="8217" spans="3:3">
      <c r="C8217"/>
    </row>
    <row r="8218" spans="3:3">
      <c r="C8218"/>
    </row>
    <row r="8219" spans="3:3">
      <c r="C8219"/>
    </row>
    <row r="8220" spans="3:3">
      <c r="C8220"/>
    </row>
    <row r="8221" spans="3:3">
      <c r="C8221"/>
    </row>
    <row r="8222" spans="3:3">
      <c r="C8222"/>
    </row>
    <row r="8223" spans="3:3">
      <c r="C8223"/>
    </row>
    <row r="8224" spans="3:3">
      <c r="C8224"/>
    </row>
    <row r="8225" spans="3:3">
      <c r="C8225"/>
    </row>
    <row r="8226" spans="3:3">
      <c r="C8226"/>
    </row>
    <row r="8227" spans="3:3">
      <c r="C8227"/>
    </row>
    <row r="8228" spans="3:3">
      <c r="C8228"/>
    </row>
    <row r="8229" spans="3:3">
      <c r="C8229"/>
    </row>
    <row r="8230" spans="3:3">
      <c r="C8230"/>
    </row>
    <row r="8231" spans="3:3">
      <c r="C8231"/>
    </row>
    <row r="8232" spans="3:3">
      <c r="C8232"/>
    </row>
    <row r="8233" spans="3:3">
      <c r="C8233"/>
    </row>
    <row r="8234" spans="3:3">
      <c r="C8234"/>
    </row>
    <row r="8235" spans="3:3">
      <c r="C8235"/>
    </row>
    <row r="8236" spans="3:3">
      <c r="C8236"/>
    </row>
    <row r="8237" spans="3:3">
      <c r="C8237"/>
    </row>
    <row r="8238" spans="3:3">
      <c r="C8238"/>
    </row>
    <row r="8239" spans="3:3">
      <c r="C8239"/>
    </row>
    <row r="8240" spans="3:3">
      <c r="C8240"/>
    </row>
    <row r="8241" spans="3:3">
      <c r="C8241"/>
    </row>
    <row r="8242" spans="3:3">
      <c r="C8242"/>
    </row>
    <row r="8243" spans="3:3">
      <c r="C8243"/>
    </row>
    <row r="8244" spans="3:3">
      <c r="C8244"/>
    </row>
    <row r="8245" spans="3:3">
      <c r="C8245"/>
    </row>
    <row r="8246" spans="3:3">
      <c r="C8246"/>
    </row>
    <row r="8247" spans="3:3">
      <c r="C8247"/>
    </row>
    <row r="8248" spans="3:3">
      <c r="C8248"/>
    </row>
    <row r="8249" spans="3:3">
      <c r="C8249"/>
    </row>
    <row r="8250" spans="3:3">
      <c r="C8250"/>
    </row>
    <row r="8251" spans="3:3">
      <c r="C8251"/>
    </row>
    <row r="8252" spans="3:3">
      <c r="C8252"/>
    </row>
    <row r="8253" spans="3:3">
      <c r="C8253"/>
    </row>
    <row r="8254" spans="3:3">
      <c r="C8254"/>
    </row>
    <row r="8255" spans="3:3">
      <c r="C8255"/>
    </row>
    <row r="8256" spans="3:3">
      <c r="C8256"/>
    </row>
    <row r="8257" spans="3:3">
      <c r="C8257"/>
    </row>
    <row r="8258" spans="3:3">
      <c r="C8258"/>
    </row>
    <row r="8259" spans="3:3">
      <c r="C8259"/>
    </row>
    <row r="8260" spans="3:3">
      <c r="C8260"/>
    </row>
    <row r="8261" spans="3:3">
      <c r="C8261"/>
    </row>
    <row r="8262" spans="3:3">
      <c r="C8262"/>
    </row>
    <row r="8263" spans="3:3">
      <c r="C8263"/>
    </row>
    <row r="8264" spans="3:3">
      <c r="C8264"/>
    </row>
    <row r="8265" spans="3:3">
      <c r="C8265"/>
    </row>
    <row r="8266" spans="3:3">
      <c r="C8266"/>
    </row>
    <row r="8267" spans="3:3">
      <c r="C8267"/>
    </row>
    <row r="8268" spans="3:3">
      <c r="C8268"/>
    </row>
    <row r="8269" spans="3:3">
      <c r="C8269"/>
    </row>
    <row r="8270" spans="3:3">
      <c r="C8270"/>
    </row>
    <row r="8271" spans="3:3">
      <c r="C8271"/>
    </row>
    <row r="8272" spans="3:3">
      <c r="C8272"/>
    </row>
    <row r="8273" spans="3:3">
      <c r="C8273"/>
    </row>
    <row r="8274" spans="3:3">
      <c r="C8274"/>
    </row>
    <row r="8275" spans="3:3">
      <c r="C8275"/>
    </row>
    <row r="8276" spans="3:3">
      <c r="C8276"/>
    </row>
    <row r="8277" spans="3:3">
      <c r="C8277"/>
    </row>
    <row r="8278" spans="3:3">
      <c r="C8278"/>
    </row>
    <row r="8279" spans="3:3">
      <c r="C8279"/>
    </row>
    <row r="8280" spans="3:3">
      <c r="C8280"/>
    </row>
    <row r="8281" spans="3:3">
      <c r="C8281"/>
    </row>
    <row r="8282" spans="3:3">
      <c r="C8282"/>
    </row>
    <row r="8283" spans="3:3">
      <c r="C8283"/>
    </row>
    <row r="8284" spans="3:3">
      <c r="C8284"/>
    </row>
    <row r="8285" spans="3:3">
      <c r="C8285"/>
    </row>
    <row r="8286" spans="3:3">
      <c r="C8286"/>
    </row>
    <row r="8287" spans="3:3">
      <c r="C8287"/>
    </row>
    <row r="8288" spans="3:3">
      <c r="C8288"/>
    </row>
    <row r="8289" spans="3:3">
      <c r="C8289"/>
    </row>
    <row r="8290" spans="3:3">
      <c r="C8290"/>
    </row>
    <row r="8291" spans="3:3">
      <c r="C8291"/>
    </row>
    <row r="8292" spans="3:3">
      <c r="C8292"/>
    </row>
    <row r="8293" spans="3:3">
      <c r="C8293"/>
    </row>
    <row r="8294" spans="3:3">
      <c r="C8294"/>
    </row>
    <row r="8295" spans="3:3">
      <c r="C8295"/>
    </row>
    <row r="8296" spans="3:3">
      <c r="C8296"/>
    </row>
    <row r="8297" spans="3:3">
      <c r="C8297"/>
    </row>
    <row r="8298" spans="3:3">
      <c r="C8298"/>
    </row>
    <row r="8299" spans="3:3">
      <c r="C8299"/>
    </row>
    <row r="8300" spans="3:3">
      <c r="C8300"/>
    </row>
    <row r="8301" spans="3:3">
      <c r="C8301"/>
    </row>
    <row r="8302" spans="3:3">
      <c r="C8302"/>
    </row>
    <row r="8303" spans="3:3">
      <c r="C8303"/>
    </row>
    <row r="8304" spans="3:3">
      <c r="C8304"/>
    </row>
    <row r="8305" spans="3:3">
      <c r="C8305"/>
    </row>
    <row r="8306" spans="3:3">
      <c r="C8306"/>
    </row>
    <row r="8307" spans="3:3">
      <c r="C8307"/>
    </row>
    <row r="8308" spans="3:3">
      <c r="C8308"/>
    </row>
    <row r="8309" spans="3:3">
      <c r="C8309"/>
    </row>
    <row r="8310" spans="3:3">
      <c r="C8310"/>
    </row>
    <row r="8311" spans="3:3">
      <c r="C8311"/>
    </row>
    <row r="8312" spans="3:3">
      <c r="C8312"/>
    </row>
    <row r="8313" spans="3:3">
      <c r="C8313"/>
    </row>
    <row r="8314" spans="3:3">
      <c r="C8314"/>
    </row>
    <row r="8315" spans="3:3">
      <c r="C8315"/>
    </row>
    <row r="8316" spans="3:3">
      <c r="C8316"/>
    </row>
    <row r="8317" spans="3:3">
      <c r="C8317"/>
    </row>
    <row r="8318" spans="3:3">
      <c r="C8318"/>
    </row>
    <row r="8319" spans="3:3">
      <c r="C8319"/>
    </row>
    <row r="8320" spans="3:3">
      <c r="C8320"/>
    </row>
    <row r="8321" spans="3:3">
      <c r="C8321"/>
    </row>
    <row r="8322" spans="3:3">
      <c r="C8322"/>
    </row>
    <row r="8323" spans="3:3">
      <c r="C8323"/>
    </row>
    <row r="8324" spans="3:3">
      <c r="C8324"/>
    </row>
    <row r="8325" spans="3:3">
      <c r="C8325"/>
    </row>
    <row r="8326" spans="3:3">
      <c r="C8326"/>
    </row>
    <row r="8327" spans="3:3">
      <c r="C8327"/>
    </row>
    <row r="8328" spans="3:3">
      <c r="C8328"/>
    </row>
    <row r="8329" spans="3:3">
      <c r="C8329"/>
    </row>
    <row r="8330" spans="3:3">
      <c r="C8330"/>
    </row>
    <row r="8331" spans="3:3">
      <c r="C8331"/>
    </row>
    <row r="8332" spans="3:3">
      <c r="C8332"/>
    </row>
    <row r="8333" spans="3:3">
      <c r="C8333"/>
    </row>
    <row r="8334" spans="3:3">
      <c r="C8334"/>
    </row>
    <row r="8335" spans="3:3">
      <c r="C8335"/>
    </row>
    <row r="8336" spans="3:3">
      <c r="C8336"/>
    </row>
    <row r="8337" spans="3:3">
      <c r="C8337"/>
    </row>
    <row r="8338" spans="3:3">
      <c r="C8338"/>
    </row>
    <row r="8339" spans="3:3">
      <c r="C8339"/>
    </row>
    <row r="8340" spans="3:3">
      <c r="C8340"/>
    </row>
    <row r="8341" spans="3:3">
      <c r="C8341"/>
    </row>
    <row r="8342" spans="3:3">
      <c r="C8342"/>
    </row>
    <row r="8343" spans="3:3">
      <c r="C8343"/>
    </row>
    <row r="8344" spans="3:3">
      <c r="C8344"/>
    </row>
    <row r="8345" spans="3:3">
      <c r="C8345"/>
    </row>
    <row r="8346" spans="3:3">
      <c r="C8346"/>
    </row>
    <row r="8347" spans="3:3">
      <c r="C8347"/>
    </row>
    <row r="8348" spans="3:3">
      <c r="C8348"/>
    </row>
    <row r="8349" spans="3:3">
      <c r="C8349"/>
    </row>
    <row r="8350" spans="3:3">
      <c r="C8350"/>
    </row>
    <row r="8351" spans="3:3">
      <c r="C8351"/>
    </row>
    <row r="8352" spans="3:3">
      <c r="C8352"/>
    </row>
    <row r="8353" spans="3:3">
      <c r="C8353"/>
    </row>
    <row r="8354" spans="3:3">
      <c r="C8354"/>
    </row>
    <row r="8355" spans="3:3">
      <c r="C8355"/>
    </row>
    <row r="8356" spans="3:3">
      <c r="C8356"/>
    </row>
    <row r="8357" spans="3:3">
      <c r="C8357"/>
    </row>
    <row r="8358" spans="3:3">
      <c r="C8358"/>
    </row>
    <row r="8359" spans="3:3">
      <c r="C8359"/>
    </row>
    <row r="8360" spans="3:3">
      <c r="C8360"/>
    </row>
    <row r="8361" spans="3:3">
      <c r="C8361"/>
    </row>
    <row r="8362" spans="3:3">
      <c r="C8362"/>
    </row>
    <row r="8363" spans="3:3">
      <c r="C8363"/>
    </row>
    <row r="8364" spans="3:3">
      <c r="C8364"/>
    </row>
    <row r="8365" spans="3:3">
      <c r="C8365"/>
    </row>
    <row r="8366" spans="3:3">
      <c r="C8366"/>
    </row>
    <row r="8367" spans="3:3">
      <c r="C8367"/>
    </row>
    <row r="8368" spans="3:3">
      <c r="C8368"/>
    </row>
    <row r="8369" spans="3:3">
      <c r="C8369"/>
    </row>
    <row r="8370" spans="3:3">
      <c r="C8370"/>
    </row>
    <row r="8371" spans="3:3">
      <c r="C8371"/>
    </row>
    <row r="8372" spans="3:3">
      <c r="C8372"/>
    </row>
    <row r="8373" spans="3:3">
      <c r="C8373"/>
    </row>
    <row r="8374" spans="3:3">
      <c r="C8374"/>
    </row>
    <row r="8375" spans="3:3">
      <c r="C8375"/>
    </row>
    <row r="8376" spans="3:3">
      <c r="C8376"/>
    </row>
    <row r="8377" spans="3:3">
      <c r="C8377"/>
    </row>
    <row r="8378" spans="3:3">
      <c r="C8378"/>
    </row>
    <row r="8379" spans="3:3">
      <c r="C8379"/>
    </row>
    <row r="8380" spans="3:3">
      <c r="C8380"/>
    </row>
    <row r="8381" spans="3:3">
      <c r="C8381"/>
    </row>
    <row r="8382" spans="3:3">
      <c r="C8382"/>
    </row>
    <row r="8383" spans="3:3">
      <c r="C8383"/>
    </row>
    <row r="8384" spans="3:3">
      <c r="C8384"/>
    </row>
    <row r="8385" spans="3:3">
      <c r="C8385"/>
    </row>
    <row r="8386" spans="3:3">
      <c r="C8386"/>
    </row>
    <row r="8387" spans="3:3">
      <c r="C8387"/>
    </row>
    <row r="8388" spans="3:3">
      <c r="C8388"/>
    </row>
    <row r="8389" spans="3:3">
      <c r="C8389"/>
    </row>
    <row r="8390" spans="3:3">
      <c r="C8390"/>
    </row>
    <row r="8391" spans="3:3">
      <c r="C8391"/>
    </row>
    <row r="8392" spans="3:3">
      <c r="C8392"/>
    </row>
    <row r="8393" spans="3:3">
      <c r="C8393"/>
    </row>
    <row r="8394" spans="3:3">
      <c r="C8394"/>
    </row>
    <row r="8395" spans="3:3">
      <c r="C8395"/>
    </row>
    <row r="8396" spans="3:3">
      <c r="C8396"/>
    </row>
    <row r="8397" spans="3:3">
      <c r="C8397"/>
    </row>
    <row r="8398" spans="3:3">
      <c r="C8398"/>
    </row>
    <row r="8399" spans="3:3">
      <c r="C8399"/>
    </row>
    <row r="8400" spans="3:3">
      <c r="C8400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868A-C619-4C68-9833-787C568AF5C1}">
  <dimension ref="B4:G13"/>
  <sheetViews>
    <sheetView workbookViewId="0">
      <selection activeCell="J7" sqref="J7"/>
    </sheetView>
  </sheetViews>
  <sheetFormatPr defaultRowHeight="14.4"/>
  <sheetData>
    <row r="4" spans="2:7">
      <c r="B4" t="s">
        <v>1196</v>
      </c>
    </row>
    <row r="5" spans="2:7">
      <c r="B5" s="10"/>
      <c r="C5" s="10"/>
    </row>
    <row r="6" spans="2:7" ht="28.8">
      <c r="B6" s="10" t="s">
        <v>1191</v>
      </c>
      <c r="C6" t="s">
        <v>1196</v>
      </c>
    </row>
    <row r="7" spans="2:7" ht="28.8">
      <c r="B7" s="10" t="s">
        <v>1192</v>
      </c>
      <c r="C7" s="10"/>
      <c r="D7" s="10"/>
      <c r="F7" t="s">
        <v>1196</v>
      </c>
    </row>
    <row r="8" spans="2:7" ht="28.8">
      <c r="B8" s="10" t="s">
        <v>1193</v>
      </c>
      <c r="C8" s="10" t="s">
        <v>1191</v>
      </c>
      <c r="D8" s="12">
        <f>SUM(Sheet1[Sales])</f>
        <v>873750.26599999995</v>
      </c>
      <c r="F8" s="10"/>
      <c r="G8" s="10"/>
    </row>
    <row r="9" spans="2:7" ht="28.8">
      <c r="B9" s="10" t="s">
        <v>1194</v>
      </c>
      <c r="C9" s="10" t="s">
        <v>1192</v>
      </c>
      <c r="D9" s="12" t="e">
        <f>SUM(#REF!)</f>
        <v>#REF!</v>
      </c>
      <c r="F9" s="10" t="s">
        <v>1191</v>
      </c>
      <c r="G9" s="12">
        <f>SUM(Sheet1[Sales])</f>
        <v>873750.26599999995</v>
      </c>
    </row>
    <row r="10" spans="2:7" ht="43.2">
      <c r="B10" s="10" t="s">
        <v>1195</v>
      </c>
      <c r="C10" s="10" t="s">
        <v>1193</v>
      </c>
      <c r="D10" s="11">
        <f>COUNTA(#REF!)</f>
        <v>1</v>
      </c>
      <c r="F10" s="10" t="s">
        <v>1192</v>
      </c>
      <c r="G10" s="12" t="e">
        <f>SUM(#REF!)</f>
        <v>#REF!</v>
      </c>
    </row>
    <row r="11" spans="2:7" ht="28.8">
      <c r="C11" s="10" t="s">
        <v>1194</v>
      </c>
      <c r="D11" s="12" t="e">
        <f>AVERAGE(#REF!)</f>
        <v>#REF!</v>
      </c>
      <c r="F11" s="10" t="s">
        <v>1193</v>
      </c>
      <c r="G11" s="11">
        <f>COUNTA(#REF!)</f>
        <v>1</v>
      </c>
    </row>
    <row r="12" spans="2:7" ht="43.2">
      <c r="C12" s="10" t="s">
        <v>1195</v>
      </c>
      <c r="D12" s="12" t="e">
        <f>SUM(#REF!)</f>
        <v>#REF!</v>
      </c>
      <c r="F12" s="10" t="s">
        <v>1194</v>
      </c>
      <c r="G12" s="12" t="e">
        <f>AVERAGE(#REF!)</f>
        <v>#REF!</v>
      </c>
    </row>
    <row r="13" spans="2:7" ht="43.2">
      <c r="F13" s="10" t="s">
        <v>1195</v>
      </c>
      <c r="G13" s="12" t="e">
        <f>SUM(#REF!)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F353-F245-43A7-A3C8-BA05B790570E}">
  <dimension ref="A3:V16"/>
  <sheetViews>
    <sheetView topLeftCell="K1" workbookViewId="0">
      <selection activeCell="M5" sqref="M5"/>
    </sheetView>
  </sheetViews>
  <sheetFormatPr defaultRowHeight="14.4"/>
  <cols>
    <col min="1" max="1" width="12.44140625" bestFit="1" customWidth="1"/>
    <col min="2" max="2" width="11.5546875" bestFit="1" customWidth="1"/>
    <col min="5" max="5" width="18.109375" bestFit="1" customWidth="1"/>
    <col min="6" max="6" width="11.5546875" bestFit="1" customWidth="1"/>
    <col min="9" max="9" width="13.109375" bestFit="1" customWidth="1"/>
    <col min="10" max="10" width="11.5546875" bestFit="1" customWidth="1"/>
    <col min="13" max="13" width="16.77734375" bestFit="1" customWidth="1"/>
    <col min="14" max="15" width="11.5546875" bestFit="1" customWidth="1"/>
    <col min="16" max="16" width="7.5546875" bestFit="1" customWidth="1"/>
    <col min="17" max="17" width="48.88671875" bestFit="1" customWidth="1"/>
    <col min="18" max="18" width="11.5546875" bestFit="1" customWidth="1"/>
    <col min="19" max="20" width="7.5546875" bestFit="1" customWidth="1"/>
    <col min="21" max="21" width="12.44140625" bestFit="1" customWidth="1"/>
    <col min="22" max="22" width="11.5546875" bestFit="1" customWidth="1"/>
    <col min="23" max="23" width="33.44140625" bestFit="1" customWidth="1"/>
    <col min="24" max="24" width="26.33203125" bestFit="1" customWidth="1"/>
    <col min="25" max="25" width="46.21875" bestFit="1" customWidth="1"/>
    <col min="26" max="26" width="27" bestFit="1" customWidth="1"/>
    <col min="27" max="27" width="21.33203125" bestFit="1" customWidth="1"/>
    <col min="28" max="28" width="30" bestFit="1" customWidth="1"/>
    <col min="29" max="29" width="44.21875" bestFit="1" customWidth="1"/>
    <col min="30" max="30" width="27.33203125" bestFit="1" customWidth="1"/>
    <col min="31" max="31" width="26.44140625" bestFit="1" customWidth="1"/>
    <col min="32" max="32" width="18.44140625" bestFit="1" customWidth="1"/>
    <col min="33" max="33" width="17.33203125" bestFit="1" customWidth="1"/>
    <col min="34" max="34" width="44.6640625" bestFit="1" customWidth="1"/>
    <col min="35" max="35" width="24.6640625" bestFit="1" customWidth="1"/>
    <col min="36" max="36" width="7.5546875" bestFit="1" customWidth="1"/>
    <col min="37" max="37" width="37.33203125" bestFit="1" customWidth="1"/>
    <col min="38" max="38" width="43.6640625" bestFit="1" customWidth="1"/>
    <col min="39" max="47" width="11.44140625" bestFit="1" customWidth="1"/>
    <col min="48" max="50" width="10.44140625" bestFit="1" customWidth="1"/>
    <col min="51" max="51" width="54" bestFit="1" customWidth="1"/>
    <col min="52" max="52" width="22.33203125" bestFit="1" customWidth="1"/>
    <col min="53" max="53" width="58" bestFit="1" customWidth="1"/>
    <col min="54" max="54" width="58.109375" bestFit="1" customWidth="1"/>
    <col min="55" max="55" width="62.44140625" bestFit="1" customWidth="1"/>
    <col min="56" max="56" width="67.44140625" bestFit="1" customWidth="1"/>
    <col min="57" max="57" width="35.88671875" bestFit="1" customWidth="1"/>
    <col min="58" max="58" width="24.5546875" bestFit="1" customWidth="1"/>
    <col min="59" max="59" width="30.109375" bestFit="1" customWidth="1"/>
    <col min="60" max="60" width="23.88671875" bestFit="1" customWidth="1"/>
    <col min="61" max="61" width="72" bestFit="1" customWidth="1"/>
    <col min="62" max="62" width="54.33203125" bestFit="1" customWidth="1"/>
    <col min="63" max="63" width="23.44140625" bestFit="1" customWidth="1"/>
    <col min="64" max="64" width="23.33203125" bestFit="1" customWidth="1"/>
    <col min="65" max="65" width="48.44140625" bestFit="1" customWidth="1"/>
    <col min="66" max="66" width="48" bestFit="1" customWidth="1"/>
    <col min="67" max="67" width="35.5546875" bestFit="1" customWidth="1"/>
    <col min="68" max="68" width="56.5546875" bestFit="1" customWidth="1"/>
    <col min="69" max="69" width="85.5546875" bestFit="1" customWidth="1"/>
    <col min="70" max="70" width="59.21875" bestFit="1" customWidth="1"/>
    <col min="71" max="71" width="35.5546875" bestFit="1" customWidth="1"/>
    <col min="72" max="72" width="53.33203125" bestFit="1" customWidth="1"/>
    <col min="73" max="73" width="24.44140625" bestFit="1" customWidth="1"/>
    <col min="74" max="74" width="42.6640625" bestFit="1" customWidth="1"/>
    <col min="75" max="75" width="17.5546875" bestFit="1" customWidth="1"/>
    <col min="76" max="76" width="18.21875" bestFit="1" customWidth="1"/>
    <col min="77" max="77" width="48.88671875" bestFit="1" customWidth="1"/>
    <col min="78" max="79" width="25.21875" bestFit="1" customWidth="1"/>
    <col min="80" max="80" width="82.33203125" bestFit="1" customWidth="1"/>
    <col min="84" max="84" width="7.88671875" bestFit="1" customWidth="1"/>
    <col min="92" max="92" width="7.88671875" bestFit="1" customWidth="1"/>
    <col min="94" max="94" width="7.88671875" bestFit="1" customWidth="1"/>
    <col min="95" max="95" width="20.44140625" bestFit="1" customWidth="1"/>
    <col min="96" max="96" width="17.33203125" bestFit="1" customWidth="1"/>
    <col min="97" max="97" width="23.33203125" bestFit="1" customWidth="1"/>
    <col min="98" max="98" width="31" bestFit="1" customWidth="1"/>
    <col min="99" max="99" width="23" bestFit="1" customWidth="1"/>
    <col min="100" max="100" width="50.33203125" bestFit="1" customWidth="1"/>
    <col min="101" max="101" width="34.33203125" bestFit="1" customWidth="1"/>
    <col min="102" max="102" width="21.88671875" bestFit="1" customWidth="1"/>
    <col min="103" max="103" width="21.109375" bestFit="1" customWidth="1"/>
    <col min="104" max="104" width="22.5546875" bestFit="1" customWidth="1"/>
    <col min="105" max="106" width="37.44140625" bestFit="1" customWidth="1"/>
    <col min="107" max="107" width="26" bestFit="1" customWidth="1"/>
    <col min="108" max="108" width="46.33203125" bestFit="1" customWidth="1"/>
    <col min="109" max="109" width="37.77734375" bestFit="1" customWidth="1"/>
    <col min="110" max="110" width="51.5546875" bestFit="1" customWidth="1"/>
    <col min="111" max="111" width="29" bestFit="1" customWidth="1"/>
    <col min="112" max="112" width="28.77734375" bestFit="1" customWidth="1"/>
    <col min="113" max="113" width="19" bestFit="1" customWidth="1"/>
    <col min="114" max="114" width="29.77734375" bestFit="1" customWidth="1"/>
    <col min="115" max="115" width="15" bestFit="1" customWidth="1"/>
    <col min="116" max="116" width="59" bestFit="1" customWidth="1"/>
    <col min="117" max="117" width="23.6640625" bestFit="1" customWidth="1"/>
    <col min="118" max="118" width="26.88671875" bestFit="1" customWidth="1"/>
    <col min="119" max="119" width="47.33203125" bestFit="1" customWidth="1"/>
    <col min="120" max="120" width="31.5546875" bestFit="1" customWidth="1"/>
    <col min="121" max="121" width="37.44140625" bestFit="1" customWidth="1"/>
    <col min="122" max="122" width="30.21875" bestFit="1" customWidth="1"/>
    <col min="123" max="123" width="56.44140625" bestFit="1" customWidth="1"/>
    <col min="124" max="124" width="26.6640625" bestFit="1" customWidth="1"/>
    <col min="125" max="125" width="43.5546875" bestFit="1" customWidth="1"/>
    <col min="126" max="126" width="62.44140625" bestFit="1" customWidth="1"/>
    <col min="127" max="127" width="24.33203125" bestFit="1" customWidth="1"/>
    <col min="128" max="128" width="29" bestFit="1" customWidth="1"/>
    <col min="129" max="129" width="29.21875" bestFit="1" customWidth="1"/>
    <col min="130" max="130" width="30.5546875" bestFit="1" customWidth="1"/>
    <col min="131" max="131" width="47.44140625" bestFit="1" customWidth="1"/>
    <col min="132" max="132" width="24.21875" bestFit="1" customWidth="1"/>
    <col min="133" max="133" width="25" bestFit="1" customWidth="1"/>
    <col min="134" max="134" width="27.33203125" bestFit="1" customWidth="1"/>
    <col min="135" max="135" width="31.77734375" bestFit="1" customWidth="1"/>
    <col min="136" max="136" width="34.5546875" bestFit="1" customWidth="1"/>
    <col min="137" max="137" width="48.109375" bestFit="1" customWidth="1"/>
    <col min="138" max="138" width="36.33203125" bestFit="1" customWidth="1"/>
    <col min="139" max="140" width="22.5546875" bestFit="1" customWidth="1"/>
    <col min="141" max="141" width="29.109375" bestFit="1" customWidth="1"/>
    <col min="142" max="142" width="43.5546875" bestFit="1" customWidth="1"/>
    <col min="143" max="143" width="48.77734375" bestFit="1" customWidth="1"/>
    <col min="144" max="144" width="50.5546875" bestFit="1" customWidth="1"/>
    <col min="145" max="145" width="45.44140625" bestFit="1" customWidth="1"/>
    <col min="146" max="146" width="40.5546875" bestFit="1" customWidth="1"/>
    <col min="147" max="147" width="43.88671875" bestFit="1" customWidth="1"/>
    <col min="148" max="148" width="52.6640625" bestFit="1" customWidth="1"/>
    <col min="149" max="149" width="39.5546875" bestFit="1" customWidth="1"/>
    <col min="150" max="150" width="43.33203125" bestFit="1" customWidth="1"/>
    <col min="151" max="151" width="42.77734375" bestFit="1" customWidth="1"/>
    <col min="152" max="152" width="19.5546875" bestFit="1" customWidth="1"/>
    <col min="153" max="153" width="71.88671875" bestFit="1" customWidth="1"/>
    <col min="154" max="154" width="40.6640625" bestFit="1" customWidth="1"/>
    <col min="155" max="155" width="37.5546875" bestFit="1" customWidth="1"/>
    <col min="156" max="156" width="27.6640625" bestFit="1" customWidth="1"/>
    <col min="157" max="157" width="45" bestFit="1" customWidth="1"/>
    <col min="158" max="158" width="43.6640625" bestFit="1" customWidth="1"/>
    <col min="159" max="159" width="63.33203125" bestFit="1" customWidth="1"/>
    <col min="160" max="160" width="47" bestFit="1" customWidth="1"/>
    <col min="161" max="161" width="28.33203125" bestFit="1" customWidth="1"/>
    <col min="162" max="162" width="27.44140625" bestFit="1" customWidth="1"/>
    <col min="163" max="163" width="50.5546875" bestFit="1" customWidth="1"/>
    <col min="164" max="164" width="30" bestFit="1" customWidth="1"/>
    <col min="165" max="165" width="34.6640625" bestFit="1" customWidth="1"/>
    <col min="166" max="166" width="31.6640625" bestFit="1" customWidth="1"/>
    <col min="167" max="167" width="26.44140625" bestFit="1" customWidth="1"/>
    <col min="168" max="168" width="18" bestFit="1" customWidth="1"/>
    <col min="169" max="169" width="45.44140625" bestFit="1" customWidth="1"/>
    <col min="170" max="170" width="39.88671875" bestFit="1" customWidth="1"/>
    <col min="171" max="171" width="32.21875" bestFit="1" customWidth="1"/>
    <col min="172" max="172" width="27.21875" bestFit="1" customWidth="1"/>
    <col min="173" max="173" width="16.44140625" bestFit="1" customWidth="1"/>
    <col min="174" max="174" width="21" bestFit="1" customWidth="1"/>
    <col min="175" max="175" width="46.5546875" bestFit="1" customWidth="1"/>
    <col min="176" max="176" width="75.88671875" bestFit="1" customWidth="1"/>
    <col min="177" max="177" width="12.77734375" bestFit="1" customWidth="1"/>
    <col min="178" max="178" width="28.33203125" bestFit="1" customWidth="1"/>
    <col min="179" max="179" width="35.33203125" bestFit="1" customWidth="1"/>
    <col min="180" max="180" width="64.44140625" bestFit="1" customWidth="1"/>
    <col min="181" max="181" width="39.5546875" bestFit="1" customWidth="1"/>
    <col min="182" max="182" width="23.33203125" bestFit="1" customWidth="1"/>
    <col min="183" max="183" width="21" bestFit="1" customWidth="1"/>
    <col min="184" max="184" width="54.6640625" bestFit="1" customWidth="1"/>
    <col min="185" max="185" width="44.5546875" bestFit="1" customWidth="1"/>
    <col min="186" max="186" width="25" bestFit="1" customWidth="1"/>
    <col min="187" max="187" width="40" bestFit="1" customWidth="1"/>
    <col min="188" max="188" width="55.44140625" bestFit="1" customWidth="1"/>
    <col min="189" max="189" width="57.6640625" bestFit="1" customWidth="1"/>
    <col min="190" max="190" width="54.21875" bestFit="1" customWidth="1"/>
    <col min="191" max="191" width="40.44140625" bestFit="1" customWidth="1"/>
    <col min="192" max="192" width="35.33203125" bestFit="1" customWidth="1"/>
    <col min="193" max="193" width="31.88671875" bestFit="1" customWidth="1"/>
    <col min="194" max="194" width="48.6640625" bestFit="1" customWidth="1"/>
    <col min="195" max="195" width="39" bestFit="1" customWidth="1"/>
    <col min="196" max="196" width="50.44140625" bestFit="1" customWidth="1"/>
    <col min="197" max="197" width="40.77734375" bestFit="1" customWidth="1"/>
    <col min="198" max="198" width="44.5546875" bestFit="1" customWidth="1"/>
    <col min="199" max="199" width="31.33203125" bestFit="1" customWidth="1"/>
    <col min="200" max="200" width="24.33203125" bestFit="1" customWidth="1"/>
    <col min="201" max="201" width="43" bestFit="1" customWidth="1"/>
    <col min="202" max="202" width="20.88671875" bestFit="1" customWidth="1"/>
    <col min="203" max="203" width="50.109375" bestFit="1" customWidth="1"/>
    <col min="204" max="204" width="49.88671875" bestFit="1" customWidth="1"/>
    <col min="205" max="205" width="41.109375" bestFit="1" customWidth="1"/>
    <col min="206" max="206" width="45.5546875" bestFit="1" customWidth="1"/>
    <col min="207" max="207" width="53.44140625" bestFit="1" customWidth="1"/>
    <col min="208" max="208" width="50.6640625" bestFit="1" customWidth="1"/>
    <col min="209" max="209" width="43.77734375" bestFit="1" customWidth="1"/>
    <col min="210" max="210" width="64.21875" bestFit="1" customWidth="1"/>
    <col min="211" max="211" width="65.33203125" bestFit="1" customWidth="1"/>
    <col min="212" max="212" width="52.44140625" bestFit="1" customWidth="1"/>
    <col min="213" max="213" width="48.5546875" bestFit="1" customWidth="1"/>
    <col min="214" max="214" width="26.88671875" bestFit="1" customWidth="1"/>
    <col min="215" max="215" width="46.21875" bestFit="1" customWidth="1"/>
    <col min="216" max="216" width="25.77734375" bestFit="1" customWidth="1"/>
    <col min="217" max="217" width="36.6640625" bestFit="1" customWidth="1"/>
    <col min="218" max="218" width="43.21875" bestFit="1" customWidth="1"/>
    <col min="219" max="219" width="31" bestFit="1" customWidth="1"/>
    <col min="220" max="220" width="42.6640625" bestFit="1" customWidth="1"/>
    <col min="221" max="221" width="46.44140625" bestFit="1" customWidth="1"/>
    <col min="222" max="222" width="25.88671875" bestFit="1" customWidth="1"/>
    <col min="223" max="223" width="30" bestFit="1" customWidth="1"/>
    <col min="224" max="224" width="27.44140625" bestFit="1" customWidth="1"/>
    <col min="225" max="225" width="57.44140625" bestFit="1" customWidth="1"/>
    <col min="226" max="226" width="40.33203125" bestFit="1" customWidth="1"/>
    <col min="227" max="227" width="55.88671875" bestFit="1" customWidth="1"/>
    <col min="228" max="228" width="29" bestFit="1" customWidth="1"/>
    <col min="229" max="229" width="32.44140625" bestFit="1" customWidth="1"/>
    <col min="230" max="230" width="41.109375" bestFit="1" customWidth="1"/>
    <col min="231" max="231" width="50.109375" bestFit="1" customWidth="1"/>
    <col min="232" max="232" width="35.88671875" bestFit="1" customWidth="1"/>
    <col min="233" max="233" width="40.88671875" bestFit="1" customWidth="1"/>
    <col min="234" max="234" width="37.5546875" bestFit="1" customWidth="1"/>
    <col min="235" max="235" width="20.44140625" bestFit="1" customWidth="1"/>
    <col min="236" max="236" width="32.77734375" bestFit="1" customWidth="1"/>
    <col min="237" max="237" width="37.33203125" bestFit="1" customWidth="1"/>
    <col min="238" max="238" width="30.5546875" bestFit="1" customWidth="1"/>
    <col min="239" max="239" width="38.6640625" bestFit="1" customWidth="1"/>
    <col min="240" max="240" width="65" bestFit="1" customWidth="1"/>
    <col min="241" max="241" width="45.33203125" bestFit="1" customWidth="1"/>
    <col min="242" max="242" width="30.5546875" bestFit="1" customWidth="1"/>
    <col min="243" max="243" width="43.6640625" bestFit="1" customWidth="1"/>
    <col min="244" max="244" width="48.77734375" bestFit="1" customWidth="1"/>
    <col min="245" max="245" width="25.21875" bestFit="1" customWidth="1"/>
    <col min="246" max="246" width="33.33203125" bestFit="1" customWidth="1"/>
    <col min="247" max="247" width="22.5546875" bestFit="1" customWidth="1"/>
    <col min="248" max="248" width="20.109375" bestFit="1" customWidth="1"/>
    <col min="249" max="249" width="17.88671875" bestFit="1" customWidth="1"/>
    <col min="250" max="250" width="22.5546875" bestFit="1" customWidth="1"/>
    <col min="251" max="251" width="6.5546875" bestFit="1" customWidth="1"/>
    <col min="252" max="252" width="17.21875" bestFit="1" customWidth="1"/>
    <col min="253" max="253" width="37.21875" bestFit="1" customWidth="1"/>
    <col min="254" max="254" width="37.77734375" bestFit="1" customWidth="1"/>
    <col min="255" max="255" width="38.44140625" bestFit="1" customWidth="1"/>
    <col min="256" max="256" width="50.77734375" bestFit="1" customWidth="1"/>
    <col min="257" max="257" width="51.33203125" bestFit="1" customWidth="1"/>
    <col min="258" max="258" width="33.6640625" bestFit="1" customWidth="1"/>
    <col min="259" max="259" width="41" bestFit="1" customWidth="1"/>
    <col min="260" max="260" width="37.5546875" bestFit="1" customWidth="1"/>
    <col min="261" max="261" width="39.77734375" bestFit="1" customWidth="1"/>
    <col min="262" max="262" width="40.21875" bestFit="1" customWidth="1"/>
    <col min="263" max="263" width="31" bestFit="1" customWidth="1"/>
    <col min="264" max="264" width="42.44140625" bestFit="1" customWidth="1"/>
    <col min="265" max="265" width="49.77734375" bestFit="1" customWidth="1"/>
    <col min="266" max="266" width="35.44140625" bestFit="1" customWidth="1"/>
    <col min="267" max="267" width="19.6640625" bestFit="1" customWidth="1"/>
    <col min="268" max="268" width="31.21875" bestFit="1" customWidth="1"/>
    <col min="269" max="269" width="21" bestFit="1" customWidth="1"/>
    <col min="270" max="270" width="30.88671875" bestFit="1" customWidth="1"/>
    <col min="271" max="271" width="35.77734375" bestFit="1" customWidth="1"/>
    <col min="272" max="272" width="39.44140625" bestFit="1" customWidth="1"/>
    <col min="273" max="273" width="29.77734375" bestFit="1" customWidth="1"/>
    <col min="274" max="274" width="52.5546875" bestFit="1" customWidth="1"/>
    <col min="275" max="275" width="35.88671875" bestFit="1" customWidth="1"/>
    <col min="276" max="276" width="40.77734375" bestFit="1" customWidth="1"/>
    <col min="277" max="277" width="39.6640625" bestFit="1" customWidth="1"/>
    <col min="278" max="278" width="26.6640625" bestFit="1" customWidth="1"/>
    <col min="279" max="279" width="70.6640625" bestFit="1" customWidth="1"/>
    <col min="280" max="280" width="28" bestFit="1" customWidth="1"/>
    <col min="281" max="281" width="36.77734375" bestFit="1" customWidth="1"/>
    <col min="282" max="282" width="33.88671875" bestFit="1" customWidth="1"/>
    <col min="283" max="283" width="39.77734375" bestFit="1" customWidth="1"/>
    <col min="284" max="284" width="17.6640625" bestFit="1" customWidth="1"/>
    <col min="285" max="285" width="42.88671875" bestFit="1" customWidth="1"/>
    <col min="286" max="286" width="45.6640625" bestFit="1" customWidth="1"/>
    <col min="287" max="287" width="47.77734375" bestFit="1" customWidth="1"/>
    <col min="288" max="288" width="28.77734375" bestFit="1" customWidth="1"/>
    <col min="289" max="289" width="23.44140625" bestFit="1" customWidth="1"/>
    <col min="290" max="290" width="46.5546875" bestFit="1" customWidth="1"/>
    <col min="291" max="291" width="31.88671875" bestFit="1" customWidth="1"/>
    <col min="292" max="292" width="50.77734375" bestFit="1" customWidth="1"/>
    <col min="293" max="294" width="42.88671875" bestFit="1" customWidth="1"/>
    <col min="295" max="295" width="21.77734375" bestFit="1" customWidth="1"/>
    <col min="296" max="296" width="19.33203125" bestFit="1" customWidth="1"/>
    <col min="297" max="297" width="52.109375" bestFit="1" customWidth="1"/>
    <col min="298" max="298" width="54.5546875" bestFit="1" customWidth="1"/>
    <col min="299" max="299" width="27.88671875" bestFit="1" customWidth="1"/>
    <col min="300" max="300" width="45.5546875" bestFit="1" customWidth="1"/>
    <col min="301" max="301" width="25.109375" bestFit="1" customWidth="1"/>
    <col min="302" max="302" width="27" bestFit="1" customWidth="1"/>
    <col min="303" max="303" width="31.77734375" bestFit="1" customWidth="1"/>
    <col min="304" max="304" width="40.5546875" bestFit="1" customWidth="1"/>
    <col min="305" max="305" width="31.33203125" bestFit="1" customWidth="1"/>
    <col min="306" max="306" width="24.109375" bestFit="1" customWidth="1"/>
    <col min="307" max="307" width="26.44140625" bestFit="1" customWidth="1"/>
    <col min="308" max="308" width="22.109375" bestFit="1" customWidth="1"/>
    <col min="309" max="309" width="25.109375" bestFit="1" customWidth="1"/>
    <col min="310" max="310" width="61.44140625" bestFit="1" customWidth="1"/>
    <col min="311" max="311" width="32.6640625" bestFit="1" customWidth="1"/>
    <col min="312" max="312" width="72.44140625" bestFit="1" customWidth="1"/>
    <col min="313" max="313" width="36.77734375" bestFit="1" customWidth="1"/>
    <col min="314" max="314" width="27" bestFit="1" customWidth="1"/>
    <col min="315" max="315" width="49" bestFit="1" customWidth="1"/>
    <col min="316" max="316" width="47.5546875" bestFit="1" customWidth="1"/>
    <col min="317" max="317" width="31.77734375" bestFit="1" customWidth="1"/>
    <col min="318" max="318" width="40" bestFit="1" customWidth="1"/>
    <col min="319" max="319" width="6.5546875" bestFit="1" customWidth="1"/>
    <col min="320" max="320" width="7.5546875" bestFit="1" customWidth="1"/>
    <col min="321" max="321" width="15.44140625" bestFit="1" customWidth="1"/>
    <col min="322" max="322" width="41.5546875" bestFit="1" customWidth="1"/>
    <col min="323" max="323" width="32" bestFit="1" customWidth="1"/>
    <col min="324" max="324" width="38.33203125" bestFit="1" customWidth="1"/>
    <col min="325" max="325" width="43" bestFit="1" customWidth="1"/>
    <col min="326" max="326" width="9" bestFit="1" customWidth="1"/>
    <col min="327" max="327" width="38.44140625" bestFit="1" customWidth="1"/>
    <col min="328" max="328" width="48.88671875" bestFit="1" customWidth="1"/>
    <col min="329" max="329" width="40.6640625" bestFit="1" customWidth="1"/>
    <col min="330" max="330" width="43.5546875" bestFit="1" customWidth="1"/>
    <col min="331" max="331" width="49.44140625" bestFit="1" customWidth="1"/>
    <col min="332" max="332" width="40.6640625" bestFit="1" customWidth="1"/>
    <col min="333" max="333" width="48.6640625" bestFit="1" customWidth="1"/>
    <col min="334" max="334" width="20.6640625" bestFit="1" customWidth="1"/>
    <col min="335" max="335" width="38.88671875" bestFit="1" customWidth="1"/>
    <col min="336" max="336" width="49" bestFit="1" customWidth="1"/>
    <col min="337" max="337" width="14.5546875" bestFit="1" customWidth="1"/>
    <col min="338" max="338" width="40.5546875" bestFit="1" customWidth="1"/>
    <col min="339" max="339" width="47.109375" bestFit="1" customWidth="1"/>
    <col min="340" max="340" width="59.33203125" bestFit="1" customWidth="1"/>
    <col min="341" max="341" width="66.109375" bestFit="1" customWidth="1"/>
    <col min="342" max="342" width="31.6640625" bestFit="1" customWidth="1"/>
    <col min="343" max="343" width="37.77734375" bestFit="1" customWidth="1"/>
    <col min="344" max="344" width="23.44140625" bestFit="1" customWidth="1"/>
    <col min="345" max="345" width="6.5546875" bestFit="1" customWidth="1"/>
    <col min="346" max="346" width="51.33203125" bestFit="1" customWidth="1"/>
    <col min="347" max="347" width="31.44140625" bestFit="1" customWidth="1"/>
    <col min="348" max="348" width="65.6640625" bestFit="1" customWidth="1"/>
    <col min="349" max="349" width="13.77734375" bestFit="1" customWidth="1"/>
    <col min="350" max="350" width="27.77734375" bestFit="1" customWidth="1"/>
    <col min="351" max="352" width="29.77734375" bestFit="1" customWidth="1"/>
    <col min="353" max="353" width="38.6640625" bestFit="1" customWidth="1"/>
    <col min="354" max="354" width="34.109375" bestFit="1" customWidth="1"/>
    <col min="355" max="355" width="22.77734375" bestFit="1" customWidth="1"/>
    <col min="356" max="356" width="7.5546875" bestFit="1" customWidth="1"/>
    <col min="357" max="357" width="33.77734375" bestFit="1" customWidth="1"/>
    <col min="358" max="358" width="51.33203125" bestFit="1" customWidth="1"/>
    <col min="359" max="359" width="29.77734375" bestFit="1" customWidth="1"/>
    <col min="360" max="360" width="27.33203125" bestFit="1" customWidth="1"/>
    <col min="361" max="361" width="37.88671875" bestFit="1" customWidth="1"/>
    <col min="362" max="362" width="37" bestFit="1" customWidth="1"/>
    <col min="363" max="363" width="45.6640625" bestFit="1" customWidth="1"/>
    <col min="364" max="364" width="19.77734375" bestFit="1" customWidth="1"/>
    <col min="365" max="365" width="37.88671875" bestFit="1" customWidth="1"/>
    <col min="366" max="366" width="27.109375" bestFit="1" customWidth="1"/>
    <col min="367" max="367" width="28.77734375" bestFit="1" customWidth="1"/>
    <col min="368" max="368" width="29.33203125" bestFit="1" customWidth="1"/>
    <col min="369" max="369" width="37.77734375" bestFit="1" customWidth="1"/>
    <col min="370" max="370" width="29.77734375" bestFit="1" customWidth="1"/>
    <col min="371" max="371" width="27.5546875" bestFit="1" customWidth="1"/>
    <col min="372" max="372" width="24.21875" bestFit="1" customWidth="1"/>
    <col min="373" max="373" width="28.109375" bestFit="1" customWidth="1"/>
    <col min="374" max="374" width="34.109375" bestFit="1" customWidth="1"/>
    <col min="375" max="375" width="27.109375" bestFit="1" customWidth="1"/>
    <col min="376" max="376" width="17.21875" bestFit="1" customWidth="1"/>
    <col min="377" max="377" width="54.33203125" bestFit="1" customWidth="1"/>
    <col min="378" max="387" width="10.109375" bestFit="1" customWidth="1"/>
    <col min="388" max="388" width="29.109375" bestFit="1" customWidth="1"/>
    <col min="389" max="389" width="21.6640625" bestFit="1" customWidth="1"/>
    <col min="390" max="390" width="24.109375" bestFit="1" customWidth="1"/>
    <col min="391" max="391" width="44.33203125" bestFit="1" customWidth="1"/>
    <col min="392" max="392" width="67.109375" bestFit="1" customWidth="1"/>
    <col min="393" max="393" width="77.5546875" bestFit="1" customWidth="1"/>
    <col min="394" max="394" width="45.6640625" bestFit="1" customWidth="1"/>
    <col min="395" max="395" width="45.21875" bestFit="1" customWidth="1"/>
    <col min="396" max="396" width="35.109375" bestFit="1" customWidth="1"/>
    <col min="397" max="397" width="15.6640625" bestFit="1" customWidth="1"/>
    <col min="398" max="398" width="34.6640625" bestFit="1" customWidth="1"/>
    <col min="399" max="399" width="35.21875" bestFit="1" customWidth="1"/>
    <col min="400" max="400" width="48.88671875" bestFit="1" customWidth="1"/>
    <col min="401" max="403" width="35.44140625" bestFit="1" customWidth="1"/>
    <col min="404" max="404" width="39.109375" bestFit="1" customWidth="1"/>
    <col min="405" max="405" width="40.88671875" bestFit="1" customWidth="1"/>
    <col min="406" max="406" width="43.33203125" bestFit="1" customWidth="1"/>
    <col min="407" max="407" width="47.88671875" bestFit="1" customWidth="1"/>
    <col min="408" max="408" width="52.5546875" bestFit="1" customWidth="1"/>
    <col min="409" max="410" width="33.21875" bestFit="1" customWidth="1"/>
    <col min="411" max="411" width="39.5546875" bestFit="1" customWidth="1"/>
    <col min="412" max="412" width="41.44140625" bestFit="1" customWidth="1"/>
    <col min="413" max="413" width="31" bestFit="1" customWidth="1"/>
    <col min="414" max="414" width="56.109375" bestFit="1" customWidth="1"/>
    <col min="415" max="415" width="38.109375" bestFit="1" customWidth="1"/>
    <col min="416" max="416" width="37.33203125" bestFit="1" customWidth="1"/>
    <col min="417" max="417" width="48.44140625" bestFit="1" customWidth="1"/>
    <col min="418" max="418" width="24.6640625" bestFit="1" customWidth="1"/>
    <col min="419" max="419" width="39.33203125" bestFit="1" customWidth="1"/>
    <col min="420" max="420" width="26.109375" bestFit="1" customWidth="1"/>
    <col min="421" max="421" width="24.88671875" bestFit="1" customWidth="1"/>
    <col min="422" max="422" width="32" bestFit="1" customWidth="1"/>
    <col min="423" max="423" width="34.88671875" bestFit="1" customWidth="1"/>
    <col min="424" max="424" width="7.5546875" bestFit="1" customWidth="1"/>
    <col min="425" max="425" width="59.109375" bestFit="1" customWidth="1"/>
    <col min="426" max="426" width="33" bestFit="1" customWidth="1"/>
    <col min="427" max="427" width="52.33203125" bestFit="1" customWidth="1"/>
    <col min="428" max="428" width="38" bestFit="1" customWidth="1"/>
    <col min="429" max="429" width="53.109375" bestFit="1" customWidth="1"/>
    <col min="430" max="430" width="35.44140625" bestFit="1" customWidth="1"/>
    <col min="431" max="431" width="72.33203125" bestFit="1" customWidth="1"/>
    <col min="432" max="432" width="42.109375" bestFit="1" customWidth="1"/>
    <col min="433" max="433" width="22.44140625" bestFit="1" customWidth="1"/>
    <col min="434" max="434" width="35.21875" bestFit="1" customWidth="1"/>
    <col min="435" max="435" width="26" bestFit="1" customWidth="1"/>
    <col min="436" max="436" width="70.6640625" bestFit="1" customWidth="1"/>
    <col min="437" max="437" width="60" bestFit="1" customWidth="1"/>
    <col min="438" max="438" width="41" bestFit="1" customWidth="1"/>
    <col min="439" max="439" width="30" bestFit="1" customWidth="1"/>
    <col min="440" max="440" width="42" bestFit="1" customWidth="1"/>
    <col min="441" max="441" width="60.21875" bestFit="1" customWidth="1"/>
    <col min="442" max="442" width="43" bestFit="1" customWidth="1"/>
    <col min="443" max="443" width="72" bestFit="1" customWidth="1"/>
    <col min="444" max="444" width="27.44140625" bestFit="1" customWidth="1"/>
    <col min="445" max="445" width="42" bestFit="1" customWidth="1"/>
    <col min="446" max="446" width="8" bestFit="1" customWidth="1"/>
    <col min="447" max="447" width="7.88671875" bestFit="1" customWidth="1"/>
    <col min="448" max="448" width="49.33203125" bestFit="1" customWidth="1"/>
    <col min="449" max="450" width="28.33203125" bestFit="1" customWidth="1"/>
    <col min="451" max="451" width="46.21875" bestFit="1" customWidth="1"/>
    <col min="452" max="452" width="35.21875" bestFit="1" customWidth="1"/>
    <col min="453" max="453" width="36.44140625" bestFit="1" customWidth="1"/>
    <col min="454" max="454" width="29" bestFit="1" customWidth="1"/>
    <col min="455" max="455" width="28.6640625" bestFit="1" customWidth="1"/>
    <col min="456" max="456" width="55.44140625" bestFit="1" customWidth="1"/>
    <col min="457" max="457" width="57.33203125" bestFit="1" customWidth="1"/>
    <col min="458" max="458" width="63" bestFit="1" customWidth="1"/>
    <col min="459" max="459" width="51.5546875" bestFit="1" customWidth="1"/>
    <col min="460" max="460" width="29.6640625" bestFit="1" customWidth="1"/>
    <col min="461" max="461" width="37.77734375" bestFit="1" customWidth="1"/>
    <col min="462" max="462" width="46.6640625" bestFit="1" customWidth="1"/>
    <col min="463" max="463" width="39" bestFit="1" customWidth="1"/>
    <col min="464" max="464" width="27.77734375" bestFit="1" customWidth="1"/>
    <col min="465" max="465" width="39.77734375" bestFit="1" customWidth="1"/>
    <col min="466" max="466" width="31.77734375" bestFit="1" customWidth="1"/>
    <col min="467" max="467" width="35" bestFit="1" customWidth="1"/>
    <col min="468" max="468" width="21.88671875" bestFit="1" customWidth="1"/>
    <col min="469" max="469" width="23.109375" bestFit="1" customWidth="1"/>
    <col min="470" max="470" width="17.44140625" bestFit="1" customWidth="1"/>
    <col min="471" max="471" width="24.44140625" bestFit="1" customWidth="1"/>
    <col min="472" max="472" width="27.44140625" bestFit="1" customWidth="1"/>
    <col min="473" max="473" width="41.6640625" bestFit="1" customWidth="1"/>
    <col min="474" max="477" width="12" bestFit="1" customWidth="1"/>
    <col min="478" max="479" width="14.109375" bestFit="1" customWidth="1"/>
    <col min="480" max="480" width="29.109375" bestFit="1" customWidth="1"/>
    <col min="481" max="481" width="21.44140625" bestFit="1" customWidth="1"/>
    <col min="482" max="482" width="42.77734375" bestFit="1" customWidth="1"/>
    <col min="483" max="483" width="26.6640625" bestFit="1" customWidth="1"/>
    <col min="484" max="484" width="19.21875" bestFit="1" customWidth="1"/>
    <col min="485" max="485" width="10.44140625" bestFit="1" customWidth="1"/>
    <col min="486" max="486" width="7.5546875" bestFit="1" customWidth="1"/>
    <col min="487" max="487" width="14.5546875" bestFit="1" customWidth="1"/>
    <col min="488" max="488" width="17.44140625" bestFit="1" customWidth="1"/>
    <col min="489" max="489" width="15.33203125" bestFit="1" customWidth="1"/>
    <col min="490" max="490" width="30.21875" bestFit="1" customWidth="1"/>
    <col min="491" max="491" width="52.5546875" bestFit="1" customWidth="1"/>
    <col min="492" max="492" width="43.109375" bestFit="1" customWidth="1"/>
    <col min="493" max="493" width="78.109375" bestFit="1" customWidth="1"/>
    <col min="494" max="494" width="49.6640625" bestFit="1" customWidth="1"/>
    <col min="495" max="495" width="50.77734375" bestFit="1" customWidth="1"/>
    <col min="496" max="496" width="23.77734375" bestFit="1" customWidth="1"/>
    <col min="497" max="497" width="25" bestFit="1" customWidth="1"/>
    <col min="498" max="498" width="63.77734375" bestFit="1" customWidth="1"/>
    <col min="499" max="499" width="33.77734375" bestFit="1" customWidth="1"/>
    <col min="500" max="500" width="33.6640625" bestFit="1" customWidth="1"/>
    <col min="501" max="501" width="58" bestFit="1" customWidth="1"/>
    <col min="502" max="502" width="37.109375" bestFit="1" customWidth="1"/>
    <col min="503" max="503" width="44.77734375" bestFit="1" customWidth="1"/>
    <col min="504" max="504" width="47.5546875" bestFit="1" customWidth="1"/>
    <col min="505" max="505" width="19.88671875" bestFit="1" customWidth="1"/>
    <col min="506" max="506" width="12" bestFit="1" customWidth="1"/>
    <col min="507" max="507" width="7.5546875" bestFit="1" customWidth="1"/>
    <col min="508" max="508" width="61.6640625" bestFit="1" customWidth="1"/>
    <col min="509" max="509" width="43" bestFit="1" customWidth="1"/>
    <col min="510" max="510" width="24.33203125" bestFit="1" customWidth="1"/>
    <col min="511" max="511" width="60.5546875" bestFit="1" customWidth="1"/>
    <col min="512" max="512" width="41.5546875" bestFit="1" customWidth="1"/>
    <col min="513" max="513" width="50.5546875" bestFit="1" customWidth="1"/>
    <col min="514" max="514" width="41.109375" bestFit="1" customWidth="1"/>
    <col min="515" max="515" width="38.21875" bestFit="1" customWidth="1"/>
    <col min="516" max="516" width="53.6640625" bestFit="1" customWidth="1"/>
    <col min="517" max="517" width="37.88671875" bestFit="1" customWidth="1"/>
    <col min="518" max="518" width="24.88671875" bestFit="1" customWidth="1"/>
    <col min="519" max="519" width="33.77734375" bestFit="1" customWidth="1"/>
    <col min="520" max="520" width="34.21875" bestFit="1" customWidth="1"/>
    <col min="521" max="521" width="65.77734375" bestFit="1" customWidth="1"/>
    <col min="522" max="522" width="58.6640625" bestFit="1" customWidth="1"/>
    <col min="523" max="523" width="35.33203125" bestFit="1" customWidth="1"/>
    <col min="524" max="530" width="10" bestFit="1" customWidth="1"/>
    <col min="531" max="531" width="9" bestFit="1" customWidth="1"/>
    <col min="532" max="539" width="10" bestFit="1" customWidth="1"/>
    <col min="540" max="540" width="9" bestFit="1" customWidth="1"/>
    <col min="541" max="543" width="10" bestFit="1" customWidth="1"/>
    <col min="544" max="544" width="9" bestFit="1" customWidth="1"/>
    <col min="545" max="549" width="10" bestFit="1" customWidth="1"/>
    <col min="550" max="550" width="9" bestFit="1" customWidth="1"/>
    <col min="551" max="555" width="10" bestFit="1" customWidth="1"/>
    <col min="556" max="556" width="7" bestFit="1" customWidth="1"/>
    <col min="557" max="557" width="9" bestFit="1" customWidth="1"/>
    <col min="558" max="558" width="8" bestFit="1" customWidth="1"/>
    <col min="559" max="563" width="9" bestFit="1" customWidth="1"/>
    <col min="564" max="564" width="8" bestFit="1" customWidth="1"/>
    <col min="565" max="565" width="24.88671875" bestFit="1" customWidth="1"/>
    <col min="566" max="566" width="46" bestFit="1" customWidth="1"/>
    <col min="567" max="567" width="10.5546875" bestFit="1" customWidth="1"/>
  </cols>
  <sheetData>
    <row r="3" spans="1:22">
      <c r="A3" s="7" t="s">
        <v>1187</v>
      </c>
      <c r="B3" t="s">
        <v>1174</v>
      </c>
      <c r="E3" s="7" t="s">
        <v>9</v>
      </c>
      <c r="F3" t="s">
        <v>1174</v>
      </c>
      <c r="I3" s="7" t="s">
        <v>1188</v>
      </c>
      <c r="J3" t="s">
        <v>1174</v>
      </c>
      <c r="M3" s="7" t="s">
        <v>7</v>
      </c>
      <c r="N3" t="s">
        <v>1189</v>
      </c>
      <c r="Q3" s="7" t="s">
        <v>1190</v>
      </c>
      <c r="R3" t="s">
        <v>1174</v>
      </c>
      <c r="U3" s="7" t="s">
        <v>1</v>
      </c>
      <c r="V3" t="s">
        <v>1174</v>
      </c>
    </row>
    <row r="4" spans="1:22">
      <c r="A4" s="8" t="s">
        <v>1175</v>
      </c>
      <c r="B4" s="9">
        <v>71075.691500000015</v>
      </c>
      <c r="E4" s="8" t="s">
        <v>86</v>
      </c>
      <c r="F4" s="9">
        <v>105986.52650000004</v>
      </c>
      <c r="I4" s="8" t="s">
        <v>33</v>
      </c>
      <c r="J4" s="9">
        <v>331339.74800000008</v>
      </c>
      <c r="M4" s="8" t="s">
        <v>60</v>
      </c>
      <c r="N4" s="9">
        <v>29720.600000000002</v>
      </c>
      <c r="Q4" s="8" t="s">
        <v>711</v>
      </c>
      <c r="R4" s="9">
        <v>14960.096</v>
      </c>
      <c r="U4" s="8" t="s">
        <v>52</v>
      </c>
      <c r="V4" s="9">
        <v>145640.42250000007</v>
      </c>
    </row>
    <row r="5" spans="1:22">
      <c r="A5" s="8" t="s">
        <v>1176</v>
      </c>
      <c r="B5" s="9">
        <v>73981.307499999995</v>
      </c>
      <c r="E5" s="8" t="s">
        <v>926</v>
      </c>
      <c r="F5" s="9">
        <v>26227.966</v>
      </c>
      <c r="I5" s="8" t="s">
        <v>19</v>
      </c>
      <c r="J5" s="9">
        <v>245753.89999999988</v>
      </c>
      <c r="M5" s="8" t="s">
        <v>27</v>
      </c>
      <c r="N5" s="9">
        <v>11577.939999999995</v>
      </c>
      <c r="Q5" s="8" t="s">
        <v>340</v>
      </c>
      <c r="R5" s="9">
        <v>21717.360000000001</v>
      </c>
      <c r="U5" s="8" t="s">
        <v>31</v>
      </c>
      <c r="V5" s="9">
        <v>211249.26099999991</v>
      </c>
    </row>
    <row r="6" spans="1:22">
      <c r="A6" s="8" t="s">
        <v>1177</v>
      </c>
      <c r="B6" s="9">
        <v>70130.360499999995</v>
      </c>
      <c r="E6" s="8" t="s">
        <v>17</v>
      </c>
      <c r="F6" s="9">
        <v>32339.713499999998</v>
      </c>
      <c r="I6" s="8" t="s">
        <v>40</v>
      </c>
      <c r="J6" s="9">
        <v>296656.61800000002</v>
      </c>
      <c r="M6" s="8" t="s">
        <v>54</v>
      </c>
      <c r="N6" s="9">
        <v>28635.740000000013</v>
      </c>
      <c r="Q6" s="8" t="s">
        <v>329</v>
      </c>
      <c r="R6" s="9">
        <v>17129.97</v>
      </c>
      <c r="U6" s="8" t="s">
        <v>14</v>
      </c>
      <c r="V6" s="9">
        <v>166477.886</v>
      </c>
    </row>
    <row r="7" spans="1:22">
      <c r="A7" s="8" t="s">
        <v>1178</v>
      </c>
      <c r="B7" s="9">
        <v>74352.860500000024</v>
      </c>
      <c r="E7" s="8" t="s">
        <v>57</v>
      </c>
      <c r="F7" s="9">
        <v>224869.9675</v>
      </c>
      <c r="I7" s="8" t="s">
        <v>1173</v>
      </c>
      <c r="J7" s="9">
        <v>873750.26599999995</v>
      </c>
      <c r="M7" s="8" t="s">
        <v>18</v>
      </c>
      <c r="N7" s="9">
        <v>16116.039999999992</v>
      </c>
      <c r="Q7" s="8" t="s">
        <v>416</v>
      </c>
      <c r="R7" s="9">
        <v>15464.01</v>
      </c>
      <c r="U7" s="8" t="s">
        <v>72</v>
      </c>
      <c r="V7" s="9">
        <v>172447.28649999993</v>
      </c>
    </row>
    <row r="8" spans="1:22">
      <c r="A8" s="8" t="s">
        <v>1179</v>
      </c>
      <c r="B8" s="9">
        <v>92142.478499999968</v>
      </c>
      <c r="E8" s="8" t="s">
        <v>44</v>
      </c>
      <c r="F8" s="9">
        <v>142775.35849999994</v>
      </c>
      <c r="M8" s="8" t="s">
        <v>1173</v>
      </c>
      <c r="N8" s="9">
        <v>86050.319999999992</v>
      </c>
      <c r="Q8" s="8" t="s">
        <v>432</v>
      </c>
      <c r="R8" s="9">
        <v>19342.84</v>
      </c>
      <c r="U8" s="8" t="s">
        <v>23</v>
      </c>
      <c r="V8" s="9">
        <v>177935.40999999995</v>
      </c>
    </row>
    <row r="9" spans="1:22">
      <c r="A9" s="8" t="s">
        <v>1180</v>
      </c>
      <c r="B9" s="9">
        <v>71824.068499999994</v>
      </c>
      <c r="E9" s="8" t="s">
        <v>66</v>
      </c>
      <c r="F9" s="9">
        <v>41487.048999999992</v>
      </c>
      <c r="Q9" s="8" t="s">
        <v>158</v>
      </c>
      <c r="R9" s="9">
        <v>15260.78</v>
      </c>
      <c r="U9" s="8" t="s">
        <v>1173</v>
      </c>
      <c r="V9" s="9">
        <v>873750.26599999983</v>
      </c>
    </row>
    <row r="10" spans="1:22">
      <c r="A10" s="8" t="s">
        <v>1181</v>
      </c>
      <c r="B10" s="9">
        <v>38613.625</v>
      </c>
      <c r="E10" s="8" t="s">
        <v>26</v>
      </c>
      <c r="F10" s="9">
        <v>220955.01249999998</v>
      </c>
      <c r="Q10" s="8" t="s">
        <v>546</v>
      </c>
      <c r="R10" s="9">
        <v>15383.7</v>
      </c>
    </row>
    <row r="11" spans="1:22">
      <c r="A11" s="8" t="s">
        <v>1182</v>
      </c>
      <c r="B11" s="9">
        <v>48308.352500000008</v>
      </c>
      <c r="E11" s="8" t="s">
        <v>74</v>
      </c>
      <c r="F11" s="9">
        <v>79108.672500000001</v>
      </c>
      <c r="Q11" s="8" t="s">
        <v>929</v>
      </c>
      <c r="R11" s="9">
        <v>14556.67</v>
      </c>
    </row>
    <row r="12" spans="1:22">
      <c r="A12" s="8" t="s">
        <v>1183</v>
      </c>
      <c r="B12" s="9">
        <v>94258.643499999991</v>
      </c>
      <c r="E12" s="8" t="s">
        <v>1173</v>
      </c>
      <c r="F12" s="9">
        <v>873750.26599999995</v>
      </c>
      <c r="Q12" s="8" t="s">
        <v>456</v>
      </c>
      <c r="R12" s="9">
        <v>21134.71</v>
      </c>
    </row>
    <row r="13" spans="1:22">
      <c r="A13" s="8" t="s">
        <v>1184</v>
      </c>
      <c r="B13" s="9">
        <v>81836.221000000005</v>
      </c>
      <c r="Q13" s="8" t="s">
        <v>949</v>
      </c>
      <c r="R13" s="9">
        <v>16066.85</v>
      </c>
    </row>
    <row r="14" spans="1:22">
      <c r="A14" s="8" t="s">
        <v>1185</v>
      </c>
      <c r="B14" s="9">
        <v>69823.897000000012</v>
      </c>
      <c r="Q14" s="8" t="s">
        <v>1173</v>
      </c>
      <c r="R14" s="9">
        <v>171016.986</v>
      </c>
    </row>
    <row r="15" spans="1:22">
      <c r="A15" s="8" t="s">
        <v>1186</v>
      </c>
      <c r="B15" s="9">
        <v>87402.76</v>
      </c>
    </row>
    <row r="16" spans="1:22">
      <c r="A16" s="8" t="s">
        <v>1173</v>
      </c>
      <c r="B16" s="9">
        <v>873750.26600000006</v>
      </c>
    </row>
  </sheetData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DE6945-1794-4808-AAFB-C71E0B0331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SHEET</vt:lpstr>
      <vt:lpstr>DATA ANALYSIS</vt:lpstr>
      <vt:lpstr>BUSINESS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Sayyad</dc:creator>
  <cp:lastModifiedBy>Kashish Sayyad</cp:lastModifiedBy>
  <dcterms:created xsi:type="dcterms:W3CDTF">2026-10-13T12:07:00Z</dcterms:created>
  <dcterms:modified xsi:type="dcterms:W3CDTF">2026-10-13T13:55:13Z</dcterms:modified>
</cp:coreProperties>
</file>